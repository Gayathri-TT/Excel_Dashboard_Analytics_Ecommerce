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b30c55b164e68b49/Desktop/Excel Projects/"/>
    </mc:Choice>
  </mc:AlternateContent>
  <xr:revisionPtr revIDLastSave="3" documentId="13_ncr:1_{EAE23B2A-265F-486A-82E4-C7CF1BDA8CF1}" xr6:coauthVersionLast="47" xr6:coauthVersionMax="47" xr10:uidLastSave="{07CC0864-1246-4C8D-8D42-E5C10C5C0C53}"/>
  <bookViews>
    <workbookView xWindow="-108" yWindow="-108" windowWidth="23256" windowHeight="12456" xr2:uid="{EC427D01-BDF9-441A-B2B1-87C289FA4E3D}"/>
  </bookViews>
  <sheets>
    <sheet name="Dashboard" sheetId="4" r:id="rId1"/>
    <sheet name="Sheet1" sheetId="5" r:id="rId2"/>
    <sheet name="Sheet2" sheetId="6" r:id="rId3"/>
    <sheet name="Sheet3" sheetId="8" r:id="rId4"/>
    <sheet name="Sheet5" sheetId="10" r:id="rId5"/>
    <sheet name="Sheet6" sheetId="11" r:id="rId6"/>
    <sheet name="Raw Data" sheetId="1" r:id="rId7"/>
    <sheet name="Pivot" sheetId="3" r:id="rId8"/>
  </sheets>
  <definedNames>
    <definedName name="_xlchart.v5.0" hidden="1">Sheet5!$F$3:$G$3</definedName>
    <definedName name="_xlchart.v5.1" hidden="1">Sheet5!$F$4:$G$61</definedName>
    <definedName name="_xlchart.v5.2" hidden="1">Sheet5!$H$3</definedName>
    <definedName name="_xlchart.v5.3" hidden="1">Sheet5!$H$4:$H$61</definedName>
    <definedName name="_xlchart.v5.4" hidden="1">Sheet5!$J$3:$K$3</definedName>
    <definedName name="_xlchart.v5.5" hidden="1">Sheet5!$J$4:$K$61</definedName>
    <definedName name="_xlchart.v5.6" hidden="1">Sheet5!$L$3</definedName>
    <definedName name="_xlchart.v5.7" hidden="1">Sheet5!$L$4:$L$61</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J4" i="5"/>
  <c r="K4" i="5"/>
  <c r="L4" i="5"/>
  <c r="I4" i="5"/>
  <c r="J5" i="5"/>
  <c r="K5" i="5"/>
  <c r="L5" i="5"/>
  <c r="I6" i="5"/>
  <c r="J6" i="5"/>
  <c r="K6" i="5"/>
  <c r="L6" i="5"/>
  <c r="I7" i="5"/>
  <c r="J7" i="5"/>
  <c r="K7" i="5"/>
  <c r="L7" i="5"/>
  <c r="I8" i="5"/>
  <c r="J8" i="5"/>
  <c r="K8" i="5"/>
  <c r="L8" i="5"/>
  <c r="I9" i="5"/>
  <c r="J9" i="5"/>
  <c r="K9" i="5"/>
  <c r="L9" i="5"/>
  <c r="H6" i="5"/>
  <c r="H7" i="5"/>
  <c r="H8" i="5"/>
  <c r="H9" i="5"/>
  <c r="H5" i="5"/>
  <c r="J4" i="3"/>
  <c r="L4" i="3"/>
  <c r="K4" i="3"/>
  <c r="I4" i="3"/>
  <c r="H4" i="3"/>
  <c r="O2401" i="1" a="1"/>
  <c r="O2401" i="1" s="1"/>
  <c r="N2401" i="1"/>
  <c r="M2401" i="1"/>
  <c r="O2400" i="1" a="1"/>
  <c r="O2400" i="1" s="1"/>
  <c r="N2400" i="1"/>
  <c r="M2400" i="1"/>
  <c r="O2399" i="1" a="1"/>
  <c r="O2399" i="1" s="1"/>
  <c r="N2399" i="1"/>
  <c r="M2399" i="1"/>
  <c r="O2398" i="1" a="1"/>
  <c r="O2398" i="1" s="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c r="O2389" i="1" a="1"/>
  <c r="N2389" i="1"/>
  <c r="M2389" i="1"/>
  <c r="O2388" i="1" a="1"/>
  <c r="O2388" i="1" s="1"/>
  <c r="N2388" i="1"/>
  <c r="M2388" i="1"/>
  <c r="O2387" i="1" a="1"/>
  <c r="O2387" i="1" s="1"/>
  <c r="N2387" i="1"/>
  <c r="M2387" i="1"/>
  <c r="O2386" i="1" a="1"/>
  <c r="O2386" i="1" s="1"/>
  <c r="N2386" i="1"/>
  <c r="M2386" i="1"/>
  <c r="O2385" i="1" a="1"/>
  <c r="O2385" i="1" s="1"/>
  <c r="N2385" i="1"/>
  <c r="M2385" i="1"/>
  <c r="O2384" i="1"/>
  <c r="O2384" i="1" a="1"/>
  <c r="N2384" i="1"/>
  <c r="M2384" i="1"/>
  <c r="O2383" i="1" a="1"/>
  <c r="O2383" i="1" s="1"/>
  <c r="N2383" i="1"/>
  <c r="M2383" i="1"/>
  <c r="O2382" i="1" a="1"/>
  <c r="O2382" i="1" s="1"/>
  <c r="N2382" i="1"/>
  <c r="M2382" i="1"/>
  <c r="O2381" i="1"/>
  <c r="O2381" i="1" a="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c r="O2367" i="1" a="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c r="O2361" i="1" a="1"/>
  <c r="N2361" i="1"/>
  <c r="M2361" i="1"/>
  <c r="O2360" i="1"/>
  <c r="O2360" i="1" a="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c r="O2348" i="1" a="1"/>
  <c r="N2348" i="1"/>
  <c r="M2348" i="1"/>
  <c r="O2347" i="1"/>
  <c r="O2347" i="1" a="1"/>
  <c r="N2347" i="1"/>
  <c r="M2347" i="1"/>
  <c r="O2346" i="1" a="1"/>
  <c r="O2346" i="1" s="1"/>
  <c r="N2346" i="1"/>
  <c r="M2346" i="1"/>
  <c r="O2345" i="1" a="1"/>
  <c r="O2345" i="1" s="1"/>
  <c r="N2345" i="1"/>
  <c r="M2345" i="1"/>
  <c r="O2344" i="1"/>
  <c r="O2344" i="1" a="1"/>
  <c r="N2344" i="1"/>
  <c r="M2344" i="1"/>
  <c r="O2343" i="1" a="1"/>
  <c r="O2343" i="1" s="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c r="O2337" i="1" a="1"/>
  <c r="N2337" i="1"/>
  <c r="M2337" i="1"/>
  <c r="O2336" i="1" a="1"/>
  <c r="O2336" i="1" s="1"/>
  <c r="N2336" i="1"/>
  <c r="M2336" i="1"/>
  <c r="O2335" i="1"/>
  <c r="O2335" i="1" a="1"/>
  <c r="N2335" i="1"/>
  <c r="M2335" i="1"/>
  <c r="O2334" i="1" a="1"/>
  <c r="O2334" i="1" s="1"/>
  <c r="N2334" i="1"/>
  <c r="M2334" i="1"/>
  <c r="O2333" i="1"/>
  <c r="O2333" i="1" a="1"/>
  <c r="N2333" i="1"/>
  <c r="M2333" i="1"/>
  <c r="O2332" i="1" a="1"/>
  <c r="O2332" i="1" s="1"/>
  <c r="N2332" i="1"/>
  <c r="M2332" i="1"/>
  <c r="O2331" i="1"/>
  <c r="O2331" i="1" a="1"/>
  <c r="N2331" i="1"/>
  <c r="M2331" i="1"/>
  <c r="O2330" i="1" a="1"/>
  <c r="O2330" i="1" s="1"/>
  <c r="N2330" i="1"/>
  <c r="M2330" i="1"/>
  <c r="O2329" i="1"/>
  <c r="O2329" i="1" a="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c r="O2321" i="1" a="1"/>
  <c r="N2321" i="1"/>
  <c r="M2321" i="1"/>
  <c r="O2320" i="1"/>
  <c r="O2320" i="1" a="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c r="O2303" i="1" a="1"/>
  <c r="N2303" i="1"/>
  <c r="M2303" i="1"/>
  <c r="O2302" i="1" a="1"/>
  <c r="O2302" i="1" s="1"/>
  <c r="N2302" i="1"/>
  <c r="M2302" i="1"/>
  <c r="O2301" i="1"/>
  <c r="O2301" i="1" a="1"/>
  <c r="N2301" i="1"/>
  <c r="M2301" i="1"/>
  <c r="O2300" i="1" a="1"/>
  <c r="O2300" i="1" s="1"/>
  <c r="N2300" i="1"/>
  <c r="M2300" i="1"/>
  <c r="O2299" i="1"/>
  <c r="O2299" i="1" a="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c r="O2291" i="1" a="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c r="O2284" i="1" a="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c r="O2276" i="1" a="1"/>
  <c r="N2276" i="1"/>
  <c r="M2276" i="1"/>
  <c r="O2275" i="1" a="1"/>
  <c r="O2275" i="1" s="1"/>
  <c r="N2275" i="1"/>
  <c r="M2275" i="1"/>
  <c r="O2274" i="1" a="1"/>
  <c r="O2274" i="1" s="1"/>
  <c r="N2274" i="1"/>
  <c r="M2274" i="1"/>
  <c r="O2273" i="1"/>
  <c r="O2273" i="1" a="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c r="O2259" i="1" a="1"/>
  <c r="N2259" i="1"/>
  <c r="M2259" i="1"/>
  <c r="O2258" i="1" a="1"/>
  <c r="O2258" i="1" s="1"/>
  <c r="N2258" i="1"/>
  <c r="M2258" i="1"/>
  <c r="O2257" i="1" a="1"/>
  <c r="O2257" i="1" s="1"/>
  <c r="N2257" i="1"/>
  <c r="M2257" i="1"/>
  <c r="O2256" i="1"/>
  <c r="O2256" i="1" a="1"/>
  <c r="N2256" i="1"/>
  <c r="M2256" i="1"/>
  <c r="O2255" i="1"/>
  <c r="O2255" i="1" a="1"/>
  <c r="N2255" i="1"/>
  <c r="M2255" i="1"/>
  <c r="O2254" i="1" a="1"/>
  <c r="O2254" i="1" s="1"/>
  <c r="N2254" i="1"/>
  <c r="M2254" i="1"/>
  <c r="O2253" i="1" a="1"/>
  <c r="O2253" i="1" s="1"/>
  <c r="N2253" i="1"/>
  <c r="M2253" i="1"/>
  <c r="O2252" i="1"/>
  <c r="O2252" i="1" a="1"/>
  <c r="N2252" i="1"/>
  <c r="M2252" i="1"/>
  <c r="O2251" i="1" a="1"/>
  <c r="O2251" i="1" s="1"/>
  <c r="N2251" i="1"/>
  <c r="M2251" i="1"/>
  <c r="O2250" i="1" a="1"/>
  <c r="O2250" i="1" s="1"/>
  <c r="N2250" i="1"/>
  <c r="M2250" i="1"/>
  <c r="O2249" i="1" a="1"/>
  <c r="O2249" i="1" s="1"/>
  <c r="N2249" i="1"/>
  <c r="M2249" i="1"/>
  <c r="O2248" i="1"/>
  <c r="O2248" i="1" a="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c r="O2241" i="1" a="1"/>
  <c r="N2241" i="1"/>
  <c r="M2241" i="1"/>
  <c r="O2240" i="1" a="1"/>
  <c r="O2240" i="1" s="1"/>
  <c r="N2240" i="1"/>
  <c r="M2240" i="1"/>
  <c r="O2239" i="1"/>
  <c r="O2239" i="1" a="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c r="O2231" i="1" a="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c r="O2224" i="1" a="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c r="O2215" i="1" a="1"/>
  <c r="N2215" i="1"/>
  <c r="M2215" i="1"/>
  <c r="O2214" i="1" a="1"/>
  <c r="O2214" i="1" s="1"/>
  <c r="N2214" i="1"/>
  <c r="M2214" i="1"/>
  <c r="O2213" i="1" a="1"/>
  <c r="O2213" i="1" s="1"/>
  <c r="N2213" i="1"/>
  <c r="M2213" i="1"/>
  <c r="O2212" i="1" a="1"/>
  <c r="O2212" i="1" s="1"/>
  <c r="N2212" i="1"/>
  <c r="M2212" i="1"/>
  <c r="O2211" i="1"/>
  <c r="O2211" i="1" a="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c r="O2193" i="1" a="1"/>
  <c r="N2193" i="1"/>
  <c r="M2193" i="1"/>
  <c r="O2192" i="1"/>
  <c r="O2192" i="1" a="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c r="O2181" i="1" a="1"/>
  <c r="N2181" i="1"/>
  <c r="M2181" i="1"/>
  <c r="O2180" i="1"/>
  <c r="O2180" i="1" a="1"/>
  <c r="N2180" i="1"/>
  <c r="M2180" i="1"/>
  <c r="O2179" i="1" a="1"/>
  <c r="O2179" i="1" s="1"/>
  <c r="N2179" i="1"/>
  <c r="M2179" i="1"/>
  <c r="O2178" i="1" a="1"/>
  <c r="O2178" i="1" s="1"/>
  <c r="N2178" i="1"/>
  <c r="M2178" i="1"/>
  <c r="O2177" i="1" a="1"/>
  <c r="O2177" i="1" s="1"/>
  <c r="N2177" i="1"/>
  <c r="M2177" i="1"/>
  <c r="O2176" i="1" a="1"/>
  <c r="O2176" i="1" s="1"/>
  <c r="N2176" i="1"/>
  <c r="M2176" i="1"/>
  <c r="O2175" i="1"/>
  <c r="O2175" i="1" a="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c r="O2145" i="1" a="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c r="O2137" i="1" a="1"/>
  <c r="N2137" i="1"/>
  <c r="M2137" i="1"/>
  <c r="O2136" i="1" a="1"/>
  <c r="O2136" i="1" s="1"/>
  <c r="N2136" i="1"/>
  <c r="M2136" i="1"/>
  <c r="O2135" i="1"/>
  <c r="O2135" i="1" a="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c r="O2128" i="1" a="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c r="O2117" i="1" a="1"/>
  <c r="N2117" i="1"/>
  <c r="M2117" i="1"/>
  <c r="O2116" i="1" a="1"/>
  <c r="O2116" i="1" s="1"/>
  <c r="N2116" i="1"/>
  <c r="M2116" i="1"/>
  <c r="O2115" i="1" a="1"/>
  <c r="O2115" i="1" s="1"/>
  <c r="N2115" i="1"/>
  <c r="M2115" i="1"/>
  <c r="O2114" i="1" a="1"/>
  <c r="O2114" i="1" s="1"/>
  <c r="N2114" i="1"/>
  <c r="M2114" i="1"/>
  <c r="O2113" i="1"/>
  <c r="O2113" i="1" a="1"/>
  <c r="N2113" i="1"/>
  <c r="M2113" i="1"/>
  <c r="O2112" i="1" a="1"/>
  <c r="O2112" i="1" s="1"/>
  <c r="N2112" i="1"/>
  <c r="M2112" i="1"/>
  <c r="O2111" i="1"/>
  <c r="O2111" i="1" a="1"/>
  <c r="N2111" i="1"/>
  <c r="M2111" i="1"/>
  <c r="O2110" i="1" a="1"/>
  <c r="O2110" i="1" s="1"/>
  <c r="N2110" i="1"/>
  <c r="M2110" i="1"/>
  <c r="O2109" i="1" a="1"/>
  <c r="O2109" i="1" s="1"/>
  <c r="N2109" i="1"/>
  <c r="M2109" i="1"/>
  <c r="O2108" i="1" a="1"/>
  <c r="O2108" i="1" s="1"/>
  <c r="N2108" i="1"/>
  <c r="M2108" i="1"/>
  <c r="O2107" i="1"/>
  <c r="O2107" i="1" a="1"/>
  <c r="N2107" i="1"/>
  <c r="M2107" i="1"/>
  <c r="O2106" i="1" a="1"/>
  <c r="O2106" i="1" s="1"/>
  <c r="N2106" i="1"/>
  <c r="M2106" i="1"/>
  <c r="O2105" i="1" a="1"/>
  <c r="O2105" i="1" s="1"/>
  <c r="N2105" i="1"/>
  <c r="M2105" i="1"/>
  <c r="O2104" i="1"/>
  <c r="O2104" i="1" a="1"/>
  <c r="N2104" i="1"/>
  <c r="M2104" i="1"/>
  <c r="O2103" i="1"/>
  <c r="O2103" i="1" a="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c r="O2092" i="1" a="1"/>
  <c r="N2092" i="1"/>
  <c r="M2092" i="1"/>
  <c r="O2091" i="1"/>
  <c r="O2091" i="1" a="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c r="O2081" i="1" a="1"/>
  <c r="N2081" i="1"/>
  <c r="M2081" i="1"/>
  <c r="O2080" i="1" a="1"/>
  <c r="O2080" i="1" s="1"/>
  <c r="N2080" i="1"/>
  <c r="M2080" i="1"/>
  <c r="O2079" i="1"/>
  <c r="O2079" i="1" a="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c r="O2073" i="1" a="1"/>
  <c r="N2073" i="1"/>
  <c r="M2073" i="1"/>
  <c r="O2072" i="1" a="1"/>
  <c r="O2072" i="1" s="1"/>
  <c r="N2072" i="1"/>
  <c r="M2072" i="1"/>
  <c r="O2071" i="1"/>
  <c r="O2071" i="1" a="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c r="O2065" i="1" a="1"/>
  <c r="N2065" i="1"/>
  <c r="M2065" i="1"/>
  <c r="O2064" i="1"/>
  <c r="O2064" i="1" a="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c r="O2045" i="1" a="1"/>
  <c r="N2045" i="1"/>
  <c r="M2045" i="1"/>
  <c r="O2044" i="1" a="1"/>
  <c r="O2044" i="1" s="1"/>
  <c r="N2044" i="1"/>
  <c r="M2044" i="1"/>
  <c r="O2043" i="1" a="1"/>
  <c r="O2043" i="1" s="1"/>
  <c r="N2043" i="1"/>
  <c r="M2043" i="1"/>
  <c r="O2042" i="1" a="1"/>
  <c r="O2042" i="1" s="1"/>
  <c r="N2042" i="1"/>
  <c r="M2042" i="1"/>
  <c r="O2041" i="1"/>
  <c r="O2041" i="1" a="1"/>
  <c r="N2041" i="1"/>
  <c r="M2041" i="1"/>
  <c r="O2040" i="1" a="1"/>
  <c r="O2040" i="1" s="1"/>
  <c r="N2040" i="1"/>
  <c r="M2040" i="1"/>
  <c r="O2039" i="1" a="1"/>
  <c r="O2039" i="1" s="1"/>
  <c r="N2039" i="1"/>
  <c r="M2039" i="1"/>
  <c r="O2038" i="1" a="1"/>
  <c r="O2038" i="1" s="1"/>
  <c r="N2038" i="1"/>
  <c r="M2038" i="1"/>
  <c r="O2037" i="1"/>
  <c r="O2037" i="1" a="1"/>
  <c r="N2037" i="1"/>
  <c r="M2037" i="1"/>
  <c r="O2036" i="1"/>
  <c r="O2036" i="1" a="1"/>
  <c r="N2036" i="1"/>
  <c r="M2036" i="1"/>
  <c r="O2035" i="1" a="1"/>
  <c r="O2035" i="1" s="1"/>
  <c r="N2035" i="1"/>
  <c r="M2035" i="1"/>
  <c r="O2034" i="1"/>
  <c r="O2034" i="1" a="1"/>
  <c r="N2034" i="1"/>
  <c r="M2034" i="1"/>
  <c r="O2033" i="1" a="1"/>
  <c r="O2033" i="1" s="1"/>
  <c r="N2033" i="1"/>
  <c r="M2033" i="1"/>
  <c r="O2032" i="1"/>
  <c r="O2032" i="1" a="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c r="O2026" i="1" a="1"/>
  <c r="N2026" i="1"/>
  <c r="M2026" i="1"/>
  <c r="O2025" i="1" a="1"/>
  <c r="O2025" i="1" s="1"/>
  <c r="N2025" i="1"/>
  <c r="M2025" i="1"/>
  <c r="O2024" i="1"/>
  <c r="O2024" i="1" a="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c r="O2017" i="1" a="1"/>
  <c r="N2017" i="1"/>
  <c r="M2017" i="1"/>
  <c r="O2016" i="1" a="1"/>
  <c r="O2016" i="1" s="1"/>
  <c r="N2016" i="1"/>
  <c r="M2016" i="1"/>
  <c r="O2015" i="1" a="1"/>
  <c r="O2015" i="1" s="1"/>
  <c r="N2015" i="1"/>
  <c r="M2015" i="1"/>
  <c r="O2014" i="1"/>
  <c r="O2014" i="1" a="1"/>
  <c r="N2014" i="1"/>
  <c r="M2014" i="1"/>
  <c r="O2013" i="1" a="1"/>
  <c r="O2013" i="1" s="1"/>
  <c r="N2013" i="1"/>
  <c r="M2013" i="1"/>
  <c r="O2012" i="1"/>
  <c r="O2012" i="1" a="1"/>
  <c r="N2012" i="1"/>
  <c r="M2012" i="1"/>
  <c r="O2011" i="1" a="1"/>
  <c r="O2011" i="1" s="1"/>
  <c r="N2011" i="1"/>
  <c r="M2011" i="1"/>
  <c r="O2010" i="1"/>
  <c r="O2010" i="1" a="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c r="O2000" i="1" a="1"/>
  <c r="N2000" i="1"/>
  <c r="M2000" i="1"/>
  <c r="O1999" i="1" a="1"/>
  <c r="O1999" i="1" s="1"/>
  <c r="N1999" i="1"/>
  <c r="M1999" i="1"/>
  <c r="O1998" i="1"/>
  <c r="O1998" i="1" a="1"/>
  <c r="N1998" i="1"/>
  <c r="M1998" i="1"/>
  <c r="O1997" i="1"/>
  <c r="O1997" i="1" a="1"/>
  <c r="N1997" i="1"/>
  <c r="M1997" i="1"/>
  <c r="O1996" i="1" a="1"/>
  <c r="O1996" i="1" s="1"/>
  <c r="N1996" i="1"/>
  <c r="M1996" i="1"/>
  <c r="O1995" i="1" a="1"/>
  <c r="O1995" i="1" s="1"/>
  <c r="N1995" i="1"/>
  <c r="M1995" i="1"/>
  <c r="O1994" i="1"/>
  <c r="O1994" i="1" a="1"/>
  <c r="N1994" i="1"/>
  <c r="M1994" i="1"/>
  <c r="O1993" i="1" a="1"/>
  <c r="O1993" i="1" s="1"/>
  <c r="N1993" i="1"/>
  <c r="M1993" i="1"/>
  <c r="O1992" i="1" a="1"/>
  <c r="O1992" i="1" s="1"/>
  <c r="N1992" i="1"/>
  <c r="M1992" i="1"/>
  <c r="O1991" i="1" a="1"/>
  <c r="O1991" i="1" s="1"/>
  <c r="N1991" i="1"/>
  <c r="M1991" i="1"/>
  <c r="O1990" i="1" a="1"/>
  <c r="O1990" i="1" s="1"/>
  <c r="N1990" i="1"/>
  <c r="M1990" i="1"/>
  <c r="O1989" i="1"/>
  <c r="O1989" i="1" a="1"/>
  <c r="N1989" i="1"/>
  <c r="M1989" i="1"/>
  <c r="O1988" i="1"/>
  <c r="O1988" i="1" a="1"/>
  <c r="N1988" i="1"/>
  <c r="M1988" i="1"/>
  <c r="O1987" i="1" a="1"/>
  <c r="O1987" i="1" s="1"/>
  <c r="N1987" i="1"/>
  <c r="M1987" i="1"/>
  <c r="O1986" i="1" a="1"/>
  <c r="O1986" i="1" s="1"/>
  <c r="N1986" i="1"/>
  <c r="M1986" i="1"/>
  <c r="O1985" i="1"/>
  <c r="O1985" i="1" a="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c r="O1976" i="1" a="1"/>
  <c r="N1976" i="1"/>
  <c r="M1976" i="1"/>
  <c r="O1975" i="1" a="1"/>
  <c r="O1975" i="1" s="1"/>
  <c r="N1975" i="1"/>
  <c r="M1975" i="1"/>
  <c r="O1974" i="1" a="1"/>
  <c r="O1974" i="1" s="1"/>
  <c r="N1974" i="1"/>
  <c r="M1974" i="1"/>
  <c r="O1973" i="1"/>
  <c r="O1973" i="1" a="1"/>
  <c r="N1973" i="1"/>
  <c r="M1973" i="1"/>
  <c r="O1972" i="1" a="1"/>
  <c r="O1972" i="1" s="1"/>
  <c r="N1972" i="1"/>
  <c r="M1972" i="1"/>
  <c r="O1971" i="1" a="1"/>
  <c r="O1971" i="1" s="1"/>
  <c r="N1971" i="1"/>
  <c r="M1971" i="1"/>
  <c r="O1970" i="1"/>
  <c r="O1970" i="1" a="1"/>
  <c r="N1970" i="1"/>
  <c r="M1970" i="1"/>
  <c r="O1969" i="1" a="1"/>
  <c r="O1969" i="1" s="1"/>
  <c r="N1969" i="1"/>
  <c r="M1969" i="1"/>
  <c r="O1968" i="1" a="1"/>
  <c r="O1968" i="1" s="1"/>
  <c r="N1968" i="1"/>
  <c r="M1968" i="1"/>
  <c r="O1967" i="1" a="1"/>
  <c r="O1967" i="1" s="1"/>
  <c r="N1967" i="1"/>
  <c r="M1967" i="1"/>
  <c r="O1966" i="1"/>
  <c r="O1966" i="1" a="1"/>
  <c r="N1966" i="1"/>
  <c r="M1966" i="1"/>
  <c r="O1965" i="1" a="1"/>
  <c r="O1965" i="1" s="1"/>
  <c r="N1965" i="1"/>
  <c r="M1965" i="1"/>
  <c r="O1964" i="1"/>
  <c r="O1964" i="1" a="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c r="O1958" i="1" a="1"/>
  <c r="N1958" i="1"/>
  <c r="M1958" i="1"/>
  <c r="O1957" i="1" a="1"/>
  <c r="O1957" i="1" s="1"/>
  <c r="N1957" i="1"/>
  <c r="M1957" i="1"/>
  <c r="O1956" i="1" a="1"/>
  <c r="O1956" i="1" s="1"/>
  <c r="N1956" i="1"/>
  <c r="M1956" i="1"/>
  <c r="O1955" i="1" a="1"/>
  <c r="O1955" i="1" s="1"/>
  <c r="N1955" i="1"/>
  <c r="M1955" i="1"/>
  <c r="O1954" i="1"/>
  <c r="O1954" i="1" a="1"/>
  <c r="N1954" i="1"/>
  <c r="M1954" i="1"/>
  <c r="O1953" i="1"/>
  <c r="O1953" i="1" a="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c r="O1942" i="1" a="1"/>
  <c r="N1942" i="1"/>
  <c r="M1942" i="1"/>
  <c r="O1941" i="1"/>
  <c r="O1941" i="1" a="1"/>
  <c r="N1941" i="1"/>
  <c r="M1941" i="1"/>
  <c r="O1940" i="1" a="1"/>
  <c r="O1940" i="1" s="1"/>
  <c r="N1940" i="1"/>
  <c r="M1940" i="1"/>
  <c r="O1939" i="1" a="1"/>
  <c r="O1939" i="1" s="1"/>
  <c r="N1939" i="1"/>
  <c r="M1939" i="1"/>
  <c r="O1938" i="1"/>
  <c r="O1938" i="1" a="1"/>
  <c r="N1938" i="1"/>
  <c r="M1938" i="1"/>
  <c r="O1937" i="1" a="1"/>
  <c r="O1937" i="1" s="1"/>
  <c r="N1937" i="1"/>
  <c r="M1937" i="1"/>
  <c r="O1936" i="1"/>
  <c r="O1936" i="1" a="1"/>
  <c r="N1936" i="1"/>
  <c r="M1936" i="1"/>
  <c r="O1935" i="1" a="1"/>
  <c r="O1935" i="1" s="1"/>
  <c r="N1935" i="1"/>
  <c r="M1935" i="1"/>
  <c r="O1934" i="1" a="1"/>
  <c r="O1934" i="1" s="1"/>
  <c r="N1934" i="1"/>
  <c r="M1934" i="1"/>
  <c r="O1933" i="1"/>
  <c r="O1933" i="1" a="1"/>
  <c r="N1933" i="1"/>
  <c r="M1933" i="1"/>
  <c r="O1932" i="1" a="1"/>
  <c r="O1932" i="1" s="1"/>
  <c r="N1932" i="1"/>
  <c r="M1932" i="1"/>
  <c r="O1931" i="1" a="1"/>
  <c r="O1931" i="1" s="1"/>
  <c r="N1931" i="1"/>
  <c r="M1931" i="1"/>
  <c r="O1930" i="1" a="1"/>
  <c r="O1930" i="1" s="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c r="O1924" i="1" a="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c r="O1918" i="1" a="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c r="O1912" i="1" a="1"/>
  <c r="N1912" i="1"/>
  <c r="M1912" i="1"/>
  <c r="O1911" i="1" a="1"/>
  <c r="O1911" i="1" s="1"/>
  <c r="N1911" i="1"/>
  <c r="M1911" i="1"/>
  <c r="O1910" i="1" a="1"/>
  <c r="O1910" i="1" s="1"/>
  <c r="N1910" i="1"/>
  <c r="M1910" i="1"/>
  <c r="O1909" i="1"/>
  <c r="O1909" i="1" a="1"/>
  <c r="N1909" i="1"/>
  <c r="M1909" i="1"/>
  <c r="O1908" i="1" a="1"/>
  <c r="O1908" i="1" s="1"/>
  <c r="N1908" i="1"/>
  <c r="M1908" i="1"/>
  <c r="O1907" i="1" a="1"/>
  <c r="O1907" i="1" s="1"/>
  <c r="N1907" i="1"/>
  <c r="M1907" i="1"/>
  <c r="O1906" i="1"/>
  <c r="O1906" i="1" a="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c r="O1898" i="1" a="1"/>
  <c r="N1898" i="1"/>
  <c r="M1898" i="1"/>
  <c r="O1897" i="1" a="1"/>
  <c r="O1897" i="1" s="1"/>
  <c r="N1897" i="1"/>
  <c r="M1897" i="1"/>
  <c r="O1896" i="1"/>
  <c r="O1896" i="1" a="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c r="O1890" i="1" a="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c r="O1881" i="1" a="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c r="O1872" i="1" a="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c r="O1866" i="1" a="1"/>
  <c r="N1866" i="1"/>
  <c r="M1866" i="1"/>
  <c r="O1865" i="1" a="1"/>
  <c r="O1865" i="1" s="1"/>
  <c r="N1865" i="1"/>
  <c r="M1865" i="1"/>
  <c r="O1864" i="1"/>
  <c r="O1864" i="1" a="1"/>
  <c r="N1864" i="1"/>
  <c r="M1864" i="1"/>
  <c r="O1863" i="1" a="1"/>
  <c r="O1863" i="1" s="1"/>
  <c r="N1863" i="1"/>
  <c r="M1863" i="1"/>
  <c r="O1862" i="1" a="1"/>
  <c r="O1862" i="1" s="1"/>
  <c r="N1862" i="1"/>
  <c r="M1862" i="1"/>
  <c r="O1861" i="1"/>
  <c r="O1861" i="1" a="1"/>
  <c r="N1861" i="1"/>
  <c r="M1861" i="1"/>
  <c r="O1860" i="1" a="1"/>
  <c r="O1860" i="1" s="1"/>
  <c r="N1860" i="1"/>
  <c r="M1860" i="1"/>
  <c r="O1859" i="1" a="1"/>
  <c r="O1859" i="1" s="1"/>
  <c r="N1859" i="1"/>
  <c r="M1859" i="1"/>
  <c r="O1858" i="1" a="1"/>
  <c r="O1858" i="1" s="1"/>
  <c r="N1858" i="1"/>
  <c r="M1858" i="1"/>
  <c r="O1857" i="1"/>
  <c r="O1857" i="1" a="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c r="O1848" i="1" a="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c r="O1841" i="1" a="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c r="O1831" i="1" a="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c r="O1819" i="1" a="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c r="O1803" i="1" a="1"/>
  <c r="N1803" i="1"/>
  <c r="M1803" i="1"/>
  <c r="O1802" i="1" a="1"/>
  <c r="O1802" i="1" s="1"/>
  <c r="N1802" i="1"/>
  <c r="M1802" i="1"/>
  <c r="O1801" i="1"/>
  <c r="O1801" i="1" a="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c r="O1787" i="1" a="1"/>
  <c r="N1787" i="1"/>
  <c r="M1787" i="1"/>
  <c r="O1786" i="1" a="1"/>
  <c r="O1786" i="1" s="1"/>
  <c r="N1786" i="1"/>
  <c r="M1786" i="1"/>
  <c r="O1785" i="1"/>
  <c r="O1785" i="1" a="1"/>
  <c r="N1785" i="1"/>
  <c r="M1785" i="1"/>
  <c r="O1784" i="1"/>
  <c r="O1784" i="1" a="1"/>
  <c r="N1784" i="1"/>
  <c r="M1784" i="1"/>
  <c r="O1783" i="1" a="1"/>
  <c r="O1783" i="1" s="1"/>
  <c r="N1783" i="1"/>
  <c r="M1783" i="1"/>
  <c r="O1782" i="1" a="1"/>
  <c r="O1782" i="1" s="1"/>
  <c r="N1782" i="1"/>
  <c r="M1782" i="1"/>
  <c r="O1781" i="1" a="1"/>
  <c r="O1781" i="1" s="1"/>
  <c r="N1781" i="1"/>
  <c r="M1781" i="1"/>
  <c r="O1780" i="1"/>
  <c r="O1780" i="1" a="1"/>
  <c r="N1780" i="1"/>
  <c r="M1780" i="1"/>
  <c r="O1779" i="1" a="1"/>
  <c r="O1779" i="1" s="1"/>
  <c r="N1779" i="1"/>
  <c r="M1779" i="1"/>
  <c r="O1778" i="1" a="1"/>
  <c r="O1778" i="1" s="1"/>
  <c r="N1778" i="1"/>
  <c r="M1778" i="1"/>
  <c r="O1777" i="1"/>
  <c r="O1777" i="1" a="1"/>
  <c r="N1777" i="1"/>
  <c r="M1777" i="1"/>
  <c r="O1776" i="1"/>
  <c r="O1776" i="1" a="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c r="O1767" i="1" a="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c r="O1756" i="1" a="1"/>
  <c r="N1756" i="1"/>
  <c r="M1756" i="1"/>
  <c r="O1755" i="1"/>
  <c r="O1755" i="1" a="1"/>
  <c r="N1755" i="1"/>
  <c r="M1755" i="1"/>
  <c r="O1754" i="1" a="1"/>
  <c r="O1754" i="1" s="1"/>
  <c r="N1754" i="1"/>
  <c r="M1754" i="1"/>
  <c r="O1753" i="1" a="1"/>
  <c r="O1753" i="1" s="1"/>
  <c r="N1753" i="1"/>
  <c r="M1753" i="1"/>
  <c r="O1752" i="1"/>
  <c r="O1752" i="1" a="1"/>
  <c r="N1752" i="1"/>
  <c r="M1752" i="1"/>
  <c r="O1751" i="1" a="1"/>
  <c r="O1751" i="1" s="1"/>
  <c r="N1751" i="1"/>
  <c r="M1751" i="1"/>
  <c r="O1750" i="1" a="1"/>
  <c r="O1750" i="1" s="1"/>
  <c r="N1750" i="1"/>
  <c r="M1750" i="1"/>
  <c r="O1749" i="1" a="1"/>
  <c r="O1749" i="1" s="1"/>
  <c r="N1749" i="1"/>
  <c r="M1749" i="1"/>
  <c r="O1748" i="1" a="1"/>
  <c r="O1748" i="1" s="1"/>
  <c r="N1748" i="1"/>
  <c r="M1748" i="1"/>
  <c r="O1747" i="1"/>
  <c r="O1747" i="1" a="1"/>
  <c r="N1747" i="1"/>
  <c r="M1747" i="1"/>
  <c r="O1746" i="1" a="1"/>
  <c r="O1746" i="1" s="1"/>
  <c r="N1746" i="1"/>
  <c r="M1746" i="1"/>
  <c r="O1745" i="1" a="1"/>
  <c r="O1745" i="1" s="1"/>
  <c r="N1745" i="1"/>
  <c r="M1745" i="1"/>
  <c r="O1744" i="1" a="1"/>
  <c r="O1744" i="1" s="1"/>
  <c r="N1744" i="1"/>
  <c r="M1744" i="1"/>
  <c r="O1743" i="1"/>
  <c r="O1743" i="1" a="1"/>
  <c r="N1743" i="1"/>
  <c r="M1743" i="1"/>
  <c r="O1742" i="1" a="1"/>
  <c r="O1742" i="1" s="1"/>
  <c r="N1742" i="1"/>
  <c r="M1742" i="1"/>
  <c r="O1741" i="1" a="1"/>
  <c r="O1741" i="1" s="1"/>
  <c r="N1741" i="1"/>
  <c r="M1741" i="1"/>
  <c r="O1740" i="1"/>
  <c r="O1740" i="1" a="1"/>
  <c r="N1740" i="1"/>
  <c r="M1740" i="1"/>
  <c r="O1739" i="1" a="1"/>
  <c r="O1739" i="1" s="1"/>
  <c r="N1739" i="1"/>
  <c r="M1739" i="1"/>
  <c r="O1738" i="1" a="1"/>
  <c r="O1738" i="1" s="1"/>
  <c r="N1738" i="1"/>
  <c r="M1738" i="1"/>
  <c r="O1737" i="1"/>
  <c r="O1737" i="1" a="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c r="O1723" i="1" a="1"/>
  <c r="N1723" i="1"/>
  <c r="M1723" i="1"/>
  <c r="O1722" i="1" a="1"/>
  <c r="O1722" i="1" s="1"/>
  <c r="N1722" i="1"/>
  <c r="M1722" i="1"/>
  <c r="O1721" i="1" a="1"/>
  <c r="O1721" i="1" s="1"/>
  <c r="N1721" i="1"/>
  <c r="M1721" i="1"/>
  <c r="O1720" i="1"/>
  <c r="O1720" i="1" a="1"/>
  <c r="N1720" i="1"/>
  <c r="M1720" i="1"/>
  <c r="O1719" i="1" a="1"/>
  <c r="O1719" i="1" s="1"/>
  <c r="N1719" i="1"/>
  <c r="M1719" i="1"/>
  <c r="O1718" i="1" a="1"/>
  <c r="O1718" i="1" s="1"/>
  <c r="N1718" i="1"/>
  <c r="M1718" i="1"/>
  <c r="O1717" i="1"/>
  <c r="O1717" i="1" a="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c r="O1708" i="1" a="1"/>
  <c r="N1708" i="1"/>
  <c r="M1708" i="1"/>
  <c r="O1707" i="1" a="1"/>
  <c r="O1707" i="1" s="1"/>
  <c r="N1707" i="1"/>
  <c r="M1707" i="1"/>
  <c r="O1706" i="1" a="1"/>
  <c r="O1706" i="1" s="1"/>
  <c r="N1706" i="1"/>
  <c r="M1706" i="1"/>
  <c r="O1705" i="1"/>
  <c r="O1705" i="1" a="1"/>
  <c r="N1705" i="1"/>
  <c r="M1705" i="1"/>
  <c r="O1704" i="1" a="1"/>
  <c r="O1704" i="1" s="1"/>
  <c r="N1704" i="1"/>
  <c r="M1704" i="1"/>
  <c r="O1703" i="1"/>
  <c r="O1703" i="1" a="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c r="O1696" i="1" a="1"/>
  <c r="N1696" i="1"/>
  <c r="M1696" i="1"/>
  <c r="O1695" i="1"/>
  <c r="O1695" i="1" a="1"/>
  <c r="N1695" i="1"/>
  <c r="M1695" i="1"/>
  <c r="O1694" i="1" a="1"/>
  <c r="O1694" i="1" s="1"/>
  <c r="N1694" i="1"/>
  <c r="M1694" i="1"/>
  <c r="O1693" i="1"/>
  <c r="O1693" i="1" a="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c r="O1684" i="1" a="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c r="O1675" i="1" a="1"/>
  <c r="N1675" i="1"/>
  <c r="M1675" i="1"/>
  <c r="O1674" i="1" a="1"/>
  <c r="O1674" i="1" s="1"/>
  <c r="N1674" i="1"/>
  <c r="M1674" i="1"/>
  <c r="O1673" i="1"/>
  <c r="O1673" i="1" a="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c r="O1657" i="1" a="1"/>
  <c r="N1657" i="1"/>
  <c r="M1657" i="1"/>
  <c r="O1656" i="1"/>
  <c r="O1656" i="1" a="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c r="O1632" i="1" a="1"/>
  <c r="N1632" i="1"/>
  <c r="M1632" i="1"/>
  <c r="O1631" i="1"/>
  <c r="O1631" i="1" a="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a="1"/>
  <c r="O1617" i="1" s="1"/>
  <c r="N1617" i="1"/>
  <c r="M1617" i="1"/>
  <c r="O1616" i="1" a="1"/>
  <c r="O1616" i="1" s="1"/>
  <c r="N1616" i="1"/>
  <c r="M1616" i="1"/>
  <c r="O1615" i="1"/>
  <c r="O1615" i="1" a="1"/>
  <c r="N1615" i="1"/>
  <c r="M1615" i="1"/>
  <c r="O1614" i="1" a="1"/>
  <c r="O1614" i="1" s="1"/>
  <c r="N1614" i="1"/>
  <c r="M1614" i="1"/>
  <c r="O1613" i="1" a="1"/>
  <c r="O1613" i="1" s="1"/>
  <c r="N1613" i="1"/>
  <c r="M1613" i="1"/>
  <c r="O1612" i="1"/>
  <c r="O1612" i="1" a="1"/>
  <c r="N1612" i="1"/>
  <c r="M1612" i="1"/>
  <c r="O1611" i="1" a="1"/>
  <c r="O1611" i="1" s="1"/>
  <c r="N1611" i="1"/>
  <c r="M1611" i="1"/>
  <c r="O1610" i="1" a="1"/>
  <c r="O1610" i="1" s="1"/>
  <c r="N1610" i="1"/>
  <c r="M1610" i="1"/>
  <c r="O1609" i="1"/>
  <c r="O1609" i="1" a="1"/>
  <c r="N1609" i="1"/>
  <c r="M1609" i="1"/>
  <c r="O1608" i="1" a="1"/>
  <c r="O1608" i="1" s="1"/>
  <c r="N1608" i="1"/>
  <c r="M1608" i="1"/>
  <c r="O1607" i="1" a="1"/>
  <c r="O1607" i="1" s="1"/>
  <c r="N1607" i="1"/>
  <c r="M1607" i="1"/>
  <c r="O1606" i="1" a="1"/>
  <c r="O1606" i="1" s="1"/>
  <c r="N1606" i="1"/>
  <c r="M1606" i="1"/>
  <c r="O1605" i="1"/>
  <c r="O1605" i="1" a="1"/>
  <c r="N1605" i="1"/>
  <c r="M1605" i="1"/>
  <c r="O1604" i="1" a="1"/>
  <c r="O1604" i="1" s="1"/>
  <c r="N1604" i="1"/>
  <c r="M1604" i="1"/>
  <c r="O1603" i="1"/>
  <c r="O1603" i="1" a="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c r="O1592" i="1" a="1"/>
  <c r="N1592" i="1"/>
  <c r="M1592" i="1"/>
  <c r="O1591" i="1" a="1"/>
  <c r="O1591" i="1" s="1"/>
  <c r="N1591" i="1"/>
  <c r="M1591" i="1"/>
  <c r="O1590" i="1" a="1"/>
  <c r="O1590" i="1" s="1"/>
  <c r="N1590" i="1"/>
  <c r="M1590" i="1"/>
  <c r="O1589" i="1" a="1"/>
  <c r="O1589" i="1" s="1"/>
  <c r="N1589" i="1"/>
  <c r="M1589" i="1"/>
  <c r="O1588" i="1"/>
  <c r="O1588" i="1" a="1"/>
  <c r="N1588" i="1"/>
  <c r="M1588" i="1"/>
  <c r="O1587" i="1" a="1"/>
  <c r="O1587" i="1" s="1"/>
  <c r="N1587" i="1"/>
  <c r="M1587" i="1"/>
  <c r="O1586" i="1" a="1"/>
  <c r="O1586" i="1" s="1"/>
  <c r="N1586" i="1"/>
  <c r="M1586" i="1"/>
  <c r="O1585" i="1"/>
  <c r="O1585" i="1" a="1"/>
  <c r="N1585" i="1"/>
  <c r="M1585" i="1"/>
  <c r="O1584" i="1" a="1"/>
  <c r="O1584" i="1" s="1"/>
  <c r="N1584" i="1"/>
  <c r="M1584" i="1"/>
  <c r="O1583" i="1" a="1"/>
  <c r="O1583" i="1" s="1"/>
  <c r="N1583" i="1"/>
  <c r="M1583" i="1"/>
  <c r="O1582" i="1" a="1"/>
  <c r="O1582" i="1" s="1"/>
  <c r="N1582" i="1"/>
  <c r="M1582" i="1"/>
  <c r="O1581" i="1"/>
  <c r="O1581" i="1" a="1"/>
  <c r="N1581" i="1"/>
  <c r="M1581" i="1"/>
  <c r="O1580" i="1" a="1"/>
  <c r="O1580" i="1" s="1"/>
  <c r="N1580" i="1"/>
  <c r="M1580" i="1"/>
  <c r="O1579" i="1" a="1"/>
  <c r="O1579" i="1" s="1"/>
  <c r="N1579" i="1"/>
  <c r="M1579" i="1"/>
  <c r="O1578" i="1" a="1"/>
  <c r="O1578" i="1" s="1"/>
  <c r="N1578" i="1"/>
  <c r="M1578" i="1"/>
  <c r="O1577" i="1" a="1"/>
  <c r="O1577" i="1" s="1"/>
  <c r="N1577" i="1"/>
  <c r="M1577" i="1"/>
  <c r="O1576" i="1"/>
  <c r="O1576" i="1" a="1"/>
  <c r="N1576" i="1"/>
  <c r="M1576" i="1"/>
  <c r="O1575" i="1"/>
  <c r="O1575" i="1" a="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c r="O1569" i="1" a="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c r="O1563" i="1" a="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c r="O1545" i="1" a="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c r="O1531" i="1" a="1"/>
  <c r="N1531" i="1"/>
  <c r="M1531" i="1"/>
  <c r="O1530" i="1" a="1"/>
  <c r="O1530" i="1" s="1"/>
  <c r="N1530" i="1"/>
  <c r="M1530" i="1"/>
  <c r="O1529" i="1" a="1"/>
  <c r="O1529" i="1" s="1"/>
  <c r="N1529" i="1"/>
  <c r="M1529" i="1"/>
  <c r="O1528" i="1"/>
  <c r="O1528" i="1" a="1"/>
  <c r="N1528" i="1"/>
  <c r="M1528" i="1"/>
  <c r="O1527" i="1" a="1"/>
  <c r="O1527" i="1" s="1"/>
  <c r="N1527" i="1"/>
  <c r="M1527" i="1"/>
  <c r="O1526" i="1" a="1"/>
  <c r="O1526" i="1" s="1"/>
  <c r="N1526" i="1"/>
  <c r="M1526" i="1"/>
  <c r="O1525" i="1" a="1"/>
  <c r="O1525" i="1" s="1"/>
  <c r="N1525" i="1"/>
  <c r="M1525" i="1"/>
  <c r="O1524" i="1"/>
  <c r="O1524" i="1" a="1"/>
  <c r="N1524" i="1"/>
  <c r="M1524" i="1"/>
  <c r="O1523" i="1" a="1"/>
  <c r="O1523" i="1" s="1"/>
  <c r="N1523" i="1"/>
  <c r="M1523" i="1"/>
  <c r="O1522" i="1" a="1"/>
  <c r="O1522" i="1" s="1"/>
  <c r="N1522" i="1"/>
  <c r="M1522" i="1"/>
  <c r="O1521" i="1"/>
  <c r="O1521" i="1" a="1"/>
  <c r="N1521" i="1"/>
  <c r="M1521" i="1"/>
  <c r="O1520" i="1" a="1"/>
  <c r="O1520" i="1" s="1"/>
  <c r="N1520" i="1"/>
  <c r="M1520" i="1"/>
  <c r="O1519" i="1" a="1"/>
  <c r="O1519" i="1" s="1"/>
  <c r="N1519" i="1"/>
  <c r="M1519" i="1"/>
  <c r="O1518" i="1" a="1"/>
  <c r="O1518" i="1" s="1"/>
  <c r="N1518" i="1"/>
  <c r="M1518" i="1"/>
  <c r="O1517" i="1" a="1"/>
  <c r="O1517" i="1" s="1"/>
  <c r="N1517" i="1"/>
  <c r="M1517" i="1"/>
  <c r="O1516" i="1"/>
  <c r="O1516" i="1" a="1"/>
  <c r="N1516" i="1"/>
  <c r="M1516" i="1"/>
  <c r="O1515" i="1" a="1"/>
  <c r="O1515" i="1" s="1"/>
  <c r="N1515" i="1"/>
  <c r="M1515" i="1"/>
  <c r="O1514" i="1" a="1"/>
  <c r="O1514" i="1" s="1"/>
  <c r="N1514" i="1"/>
  <c r="M1514" i="1"/>
  <c r="O1513" i="1" a="1"/>
  <c r="O1513" i="1" s="1"/>
  <c r="N1513" i="1"/>
  <c r="M1513" i="1"/>
  <c r="O1512" i="1" a="1"/>
  <c r="O1512" i="1" s="1"/>
  <c r="N1512" i="1"/>
  <c r="M1512" i="1"/>
  <c r="O1511" i="1"/>
  <c r="O1511" i="1" a="1"/>
  <c r="N1511" i="1"/>
  <c r="M1511" i="1"/>
  <c r="O1510" i="1" a="1"/>
  <c r="O1510" i="1" s="1"/>
  <c r="N1510" i="1"/>
  <c r="M1510" i="1"/>
  <c r="O1509" i="1"/>
  <c r="O1509" i="1" a="1"/>
  <c r="N1509" i="1"/>
  <c r="M1509" i="1"/>
  <c r="O1508" i="1" a="1"/>
  <c r="O1508" i="1" s="1"/>
  <c r="N1508" i="1"/>
  <c r="M1508" i="1"/>
  <c r="O1507" i="1"/>
  <c r="O1507" i="1" a="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c r="O1500" i="1" a="1"/>
  <c r="N1500" i="1"/>
  <c r="M1500" i="1"/>
  <c r="O1499" i="1" a="1"/>
  <c r="O1499" i="1" s="1"/>
  <c r="N1499" i="1"/>
  <c r="M1499" i="1"/>
  <c r="O1498" i="1" a="1"/>
  <c r="O1498" i="1" s="1"/>
  <c r="N1498" i="1"/>
  <c r="M1498" i="1"/>
  <c r="O1497" i="1" a="1"/>
  <c r="O1497" i="1" s="1"/>
  <c r="N1497" i="1"/>
  <c r="M1497" i="1"/>
  <c r="O1496" i="1"/>
  <c r="O1496" i="1" a="1"/>
  <c r="N1496" i="1"/>
  <c r="M1496" i="1"/>
  <c r="O1495" i="1" a="1"/>
  <c r="O1495" i="1" s="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c r="O1484" i="1" a="1"/>
  <c r="N1484" i="1"/>
  <c r="M1484" i="1"/>
  <c r="O1483" i="1" a="1"/>
  <c r="O1483" i="1" s="1"/>
  <c r="N1483" i="1"/>
  <c r="M1483" i="1"/>
  <c r="O1482" i="1" a="1"/>
  <c r="O1482" i="1" s="1"/>
  <c r="N1482" i="1"/>
  <c r="M1482" i="1"/>
  <c r="O1481" i="1"/>
  <c r="O1481" i="1" a="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c r="O1475" i="1" a="1"/>
  <c r="N1475" i="1"/>
  <c r="M1475" i="1"/>
  <c r="O1474" i="1" a="1"/>
  <c r="O1474" i="1" s="1"/>
  <c r="N1474" i="1"/>
  <c r="M1474" i="1"/>
  <c r="O1473" i="1" a="1"/>
  <c r="O1473" i="1" s="1"/>
  <c r="N1473" i="1"/>
  <c r="M1473" i="1"/>
  <c r="O1472" i="1" a="1"/>
  <c r="O1472" i="1" s="1"/>
  <c r="N1472" i="1"/>
  <c r="M1472" i="1"/>
  <c r="O1471" i="1"/>
  <c r="O1471" i="1" a="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c r="O1464" i="1" a="1"/>
  <c r="N1464" i="1"/>
  <c r="M1464" i="1"/>
  <c r="O1463" i="1" a="1"/>
  <c r="O1463" i="1" s="1"/>
  <c r="N1463" i="1"/>
  <c r="M1463" i="1"/>
  <c r="O1462" i="1" a="1"/>
  <c r="O1462" i="1" s="1"/>
  <c r="N1462" i="1"/>
  <c r="M1462" i="1"/>
  <c r="O1461" i="1"/>
  <c r="O1461" i="1" a="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c r="O1452" i="1" a="1"/>
  <c r="N1452" i="1"/>
  <c r="M1452" i="1"/>
  <c r="O1451" i="1" a="1"/>
  <c r="O1451" i="1" s="1"/>
  <c r="N1451" i="1"/>
  <c r="M1451" i="1"/>
  <c r="O1450" i="1"/>
  <c r="O1450" i="1" a="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a="1"/>
  <c r="O1440" i="1" s="1"/>
  <c r="N1440" i="1"/>
  <c r="M1440" i="1"/>
  <c r="O1439" i="1"/>
  <c r="O1439" i="1" a="1"/>
  <c r="N1439" i="1"/>
  <c r="M1439" i="1"/>
  <c r="O1438" i="1"/>
  <c r="O1438" i="1" a="1"/>
  <c r="N1438" i="1"/>
  <c r="M1438" i="1"/>
  <c r="O1437" i="1" a="1"/>
  <c r="O1437" i="1" s="1"/>
  <c r="N1437" i="1"/>
  <c r="M1437" i="1"/>
  <c r="O1436" i="1"/>
  <c r="O1436" i="1" a="1"/>
  <c r="N1436" i="1"/>
  <c r="M1436" i="1"/>
  <c r="O1435" i="1"/>
  <c r="O1435" i="1" a="1"/>
  <c r="N1435" i="1"/>
  <c r="M1435" i="1"/>
  <c r="O1434" i="1"/>
  <c r="O1434" i="1" a="1"/>
  <c r="N1434" i="1"/>
  <c r="M1434" i="1"/>
  <c r="O1433" i="1" a="1"/>
  <c r="O1433" i="1" s="1"/>
  <c r="N1433" i="1"/>
  <c r="M1433" i="1"/>
  <c r="O1432" i="1" a="1"/>
  <c r="O1432" i="1" s="1"/>
  <c r="N1432" i="1"/>
  <c r="M1432" i="1"/>
  <c r="O1431" i="1"/>
  <c r="O1431" i="1" a="1"/>
  <c r="N1431" i="1"/>
  <c r="M1431" i="1"/>
  <c r="O1430" i="1" a="1"/>
  <c r="O1430" i="1" s="1"/>
  <c r="N1430" i="1"/>
  <c r="M1430" i="1"/>
  <c r="O1429" i="1" a="1"/>
  <c r="O1429" i="1" s="1"/>
  <c r="N1429" i="1"/>
  <c r="M1429" i="1"/>
  <c r="O1428" i="1" a="1"/>
  <c r="O1428" i="1" s="1"/>
  <c r="N1428" i="1"/>
  <c r="M1428" i="1"/>
  <c r="O1427" i="1"/>
  <c r="O1427" i="1" a="1"/>
  <c r="N1427" i="1"/>
  <c r="M1427" i="1"/>
  <c r="O1426" i="1" a="1"/>
  <c r="O1426" i="1" s="1"/>
  <c r="N1426" i="1"/>
  <c r="M1426" i="1"/>
  <c r="O1425" i="1" a="1"/>
  <c r="O1425" i="1" s="1"/>
  <c r="N1425" i="1"/>
  <c r="M1425" i="1"/>
  <c r="O1424" i="1"/>
  <c r="O1424" i="1" a="1"/>
  <c r="N1424" i="1"/>
  <c r="M1424" i="1"/>
  <c r="O1423" i="1"/>
  <c r="O1423" i="1" a="1"/>
  <c r="N1423" i="1"/>
  <c r="M1423" i="1"/>
  <c r="O1422" i="1" a="1"/>
  <c r="O1422" i="1" s="1"/>
  <c r="N1422" i="1"/>
  <c r="M1422" i="1"/>
  <c r="O1421" i="1" a="1"/>
  <c r="O1421" i="1" s="1"/>
  <c r="N1421" i="1"/>
  <c r="M1421" i="1"/>
  <c r="O1420" i="1" a="1"/>
  <c r="O1420" i="1" s="1"/>
  <c r="N1420" i="1"/>
  <c r="M1420" i="1"/>
  <c r="O1419" i="1"/>
  <c r="O1419" i="1" a="1"/>
  <c r="N1419" i="1"/>
  <c r="M1419" i="1"/>
  <c r="O1418" i="1"/>
  <c r="O1418" i="1" a="1"/>
  <c r="N1418" i="1"/>
  <c r="M1418" i="1"/>
  <c r="O1417" i="1" a="1"/>
  <c r="O1417" i="1" s="1"/>
  <c r="N1417" i="1"/>
  <c r="M1417" i="1"/>
  <c r="O1416" i="1" a="1"/>
  <c r="O1416" i="1" s="1"/>
  <c r="N1416" i="1"/>
  <c r="M1416" i="1"/>
  <c r="O1415" i="1"/>
  <c r="O1415" i="1" a="1"/>
  <c r="N1415" i="1"/>
  <c r="M1415" i="1"/>
  <c r="O1414" i="1" a="1"/>
  <c r="O1414" i="1" s="1"/>
  <c r="N1414" i="1"/>
  <c r="M1414" i="1"/>
  <c r="O1413" i="1" a="1"/>
  <c r="O1413" i="1" s="1"/>
  <c r="N1413" i="1"/>
  <c r="M1413" i="1"/>
  <c r="O1412" i="1"/>
  <c r="O1412" i="1" a="1"/>
  <c r="N1412" i="1"/>
  <c r="M1412" i="1"/>
  <c r="O1411" i="1"/>
  <c r="O1411" i="1" a="1"/>
  <c r="N1411" i="1"/>
  <c r="M1411" i="1"/>
  <c r="O1410" i="1"/>
  <c r="O1410" i="1" a="1"/>
  <c r="N1410" i="1"/>
  <c r="M1410" i="1"/>
  <c r="O1409" i="1" a="1"/>
  <c r="O1409" i="1" s="1"/>
  <c r="N1409" i="1"/>
  <c r="M1409" i="1"/>
  <c r="O1408" i="1" a="1"/>
  <c r="O1408" i="1" s="1"/>
  <c r="N1408" i="1"/>
  <c r="M1408" i="1"/>
  <c r="O1407" i="1"/>
  <c r="O1407" i="1" a="1"/>
  <c r="N1407" i="1"/>
  <c r="M1407" i="1"/>
  <c r="O1406" i="1" a="1"/>
  <c r="O1406" i="1" s="1"/>
  <c r="N1406" i="1"/>
  <c r="M1406" i="1"/>
  <c r="O1405" i="1" a="1"/>
  <c r="O1405" i="1" s="1"/>
  <c r="N1405" i="1"/>
  <c r="M1405" i="1"/>
  <c r="O1404" i="1" a="1"/>
  <c r="O1404" i="1" s="1"/>
  <c r="N1404" i="1"/>
  <c r="M1404" i="1"/>
  <c r="O1403" i="1"/>
  <c r="O1403" i="1" a="1"/>
  <c r="N1403" i="1"/>
  <c r="M1403" i="1"/>
  <c r="O1402" i="1" a="1"/>
  <c r="O1402" i="1" s="1"/>
  <c r="N1402" i="1"/>
  <c r="M1402" i="1"/>
  <c r="O1401" i="1" a="1"/>
  <c r="O1401" i="1" s="1"/>
  <c r="N1401" i="1"/>
  <c r="M1401" i="1"/>
  <c r="O1400" i="1" a="1"/>
  <c r="O1400" i="1" s="1"/>
  <c r="N1400" i="1"/>
  <c r="M1400" i="1"/>
  <c r="O1399" i="1"/>
  <c r="O1399" i="1" a="1"/>
  <c r="N1399" i="1"/>
  <c r="M1399" i="1"/>
  <c r="O1398" i="1" a="1"/>
  <c r="O1398" i="1" s="1"/>
  <c r="N1398" i="1"/>
  <c r="M1398" i="1"/>
  <c r="O1397" i="1" a="1"/>
  <c r="O1397" i="1" s="1"/>
  <c r="N1397" i="1"/>
  <c r="M1397" i="1"/>
  <c r="O1396" i="1"/>
  <c r="O1396" i="1" a="1"/>
  <c r="N1396" i="1"/>
  <c r="M1396" i="1"/>
  <c r="O1395" i="1"/>
  <c r="O1395" i="1" a="1"/>
  <c r="N1395" i="1"/>
  <c r="M1395" i="1"/>
  <c r="O1394" i="1" a="1"/>
  <c r="O1394" i="1" s="1"/>
  <c r="N1394" i="1"/>
  <c r="M1394" i="1"/>
  <c r="O1393" i="1" a="1"/>
  <c r="O1393" i="1" s="1"/>
  <c r="N1393" i="1"/>
  <c r="M1393" i="1"/>
  <c r="O1392" i="1" a="1"/>
  <c r="O1392" i="1" s="1"/>
  <c r="N1392" i="1"/>
  <c r="M1392" i="1"/>
  <c r="O1391" i="1"/>
  <c r="O1391" i="1" a="1"/>
  <c r="N1391" i="1"/>
  <c r="M1391" i="1"/>
  <c r="O1390" i="1"/>
  <c r="O1390" i="1" a="1"/>
  <c r="N1390" i="1"/>
  <c r="M1390" i="1"/>
  <c r="O1389" i="1" a="1"/>
  <c r="O1389" i="1" s="1"/>
  <c r="N1389" i="1"/>
  <c r="M1389" i="1"/>
  <c r="O1388" i="1" a="1"/>
  <c r="O1388" i="1" s="1"/>
  <c r="N1388" i="1"/>
  <c r="M1388" i="1"/>
  <c r="O1387" i="1"/>
  <c r="O1387" i="1" a="1"/>
  <c r="N1387" i="1"/>
  <c r="M1387" i="1"/>
  <c r="O1386" i="1"/>
  <c r="O1386" i="1" a="1"/>
  <c r="N1386" i="1"/>
  <c r="M1386" i="1"/>
  <c r="O1385" i="1" a="1"/>
  <c r="O1385" i="1" s="1"/>
  <c r="N1385" i="1"/>
  <c r="M1385" i="1"/>
  <c r="O1384" i="1"/>
  <c r="O1384" i="1" a="1"/>
  <c r="N1384" i="1"/>
  <c r="M1384" i="1"/>
  <c r="O1383" i="1"/>
  <c r="O1383" i="1" a="1"/>
  <c r="N1383" i="1"/>
  <c r="M1383" i="1"/>
  <c r="O1382" i="1" a="1"/>
  <c r="O1382" i="1" s="1"/>
  <c r="N1382" i="1"/>
  <c r="M1382" i="1"/>
  <c r="O1381" i="1" a="1"/>
  <c r="O1381" i="1" s="1"/>
  <c r="N1381" i="1"/>
  <c r="M1381" i="1"/>
  <c r="O1380" i="1" a="1"/>
  <c r="O1380" i="1" s="1"/>
  <c r="N1380" i="1"/>
  <c r="M1380" i="1"/>
  <c r="O1379" i="1"/>
  <c r="O1379" i="1" a="1"/>
  <c r="N1379" i="1"/>
  <c r="M1379" i="1"/>
  <c r="O1378" i="1"/>
  <c r="O1378" i="1" a="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c r="O1371" i="1" a="1"/>
  <c r="N1371" i="1"/>
  <c r="M1371" i="1"/>
  <c r="O1370" i="1" a="1"/>
  <c r="O1370" i="1" s="1"/>
  <c r="N1370" i="1"/>
  <c r="M1370" i="1"/>
  <c r="O1369" i="1" a="1"/>
  <c r="O1369" i="1" s="1"/>
  <c r="N1369" i="1"/>
  <c r="M1369" i="1"/>
  <c r="O1368" i="1" a="1"/>
  <c r="O1368" i="1" s="1"/>
  <c r="N1368" i="1"/>
  <c r="M1368" i="1"/>
  <c r="O1367" i="1"/>
  <c r="O1367" i="1" a="1"/>
  <c r="N1367" i="1"/>
  <c r="M1367" i="1"/>
  <c r="O1366" i="1"/>
  <c r="O1366" i="1" a="1"/>
  <c r="N1366" i="1"/>
  <c r="M1366" i="1"/>
  <c r="O1365" i="1" a="1"/>
  <c r="O1365" i="1" s="1"/>
  <c r="N1365" i="1"/>
  <c r="M1365" i="1"/>
  <c r="O1364" i="1" a="1"/>
  <c r="O1364" i="1" s="1"/>
  <c r="N1364" i="1"/>
  <c r="M1364" i="1"/>
  <c r="O1363" i="1"/>
  <c r="O1363" i="1" a="1"/>
  <c r="N1363" i="1"/>
  <c r="M1363" i="1"/>
  <c r="O1362" i="1" a="1"/>
  <c r="O1362" i="1" s="1"/>
  <c r="N1362" i="1"/>
  <c r="M1362" i="1"/>
  <c r="O1361" i="1" a="1"/>
  <c r="O1361" i="1" s="1"/>
  <c r="N1361" i="1"/>
  <c r="M1361" i="1"/>
  <c r="O1360" i="1"/>
  <c r="O1360" i="1" a="1"/>
  <c r="N1360" i="1"/>
  <c r="M1360" i="1"/>
  <c r="O1359" i="1"/>
  <c r="O1359" i="1" a="1"/>
  <c r="N1359" i="1"/>
  <c r="M1359" i="1"/>
  <c r="O1358" i="1"/>
  <c r="O1358" i="1" a="1"/>
  <c r="N1358" i="1"/>
  <c r="M1358" i="1"/>
  <c r="O1357" i="1" a="1"/>
  <c r="O1357" i="1" s="1"/>
  <c r="N1357" i="1"/>
  <c r="M1357" i="1"/>
  <c r="O1356" i="1" a="1"/>
  <c r="O1356" i="1" s="1"/>
  <c r="N1356" i="1"/>
  <c r="M1356" i="1"/>
  <c r="O1355" i="1"/>
  <c r="O1355" i="1" a="1"/>
  <c r="N1355" i="1"/>
  <c r="M1355" i="1"/>
  <c r="O1354" i="1" a="1"/>
  <c r="O1354" i="1" s="1"/>
  <c r="N1354" i="1"/>
  <c r="M1354" i="1"/>
  <c r="O1353" i="1" a="1"/>
  <c r="O1353" i="1" s="1"/>
  <c r="N1353" i="1"/>
  <c r="M1353" i="1"/>
  <c r="O1352" i="1" a="1"/>
  <c r="O1352" i="1" s="1"/>
  <c r="N1352" i="1"/>
  <c r="M1352" i="1"/>
  <c r="O1351" i="1"/>
  <c r="O1351" i="1" a="1"/>
  <c r="N1351" i="1"/>
  <c r="M1351" i="1"/>
  <c r="O1350" i="1" a="1"/>
  <c r="O1350" i="1" s="1"/>
  <c r="N1350" i="1"/>
  <c r="M1350" i="1"/>
  <c r="O1349" i="1" a="1"/>
  <c r="O1349" i="1" s="1"/>
  <c r="N1349" i="1"/>
  <c r="M1349" i="1"/>
  <c r="O1348" i="1"/>
  <c r="O1348" i="1" a="1"/>
  <c r="N1348" i="1"/>
  <c r="M1348" i="1"/>
  <c r="O1347" i="1"/>
  <c r="O1347" i="1" a="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c r="O1339" i="1" a="1"/>
  <c r="N1339" i="1"/>
  <c r="M1339" i="1"/>
  <c r="O1338" i="1" a="1"/>
  <c r="O1338" i="1" s="1"/>
  <c r="N1338" i="1"/>
  <c r="M1338" i="1"/>
  <c r="O1337" i="1" a="1"/>
  <c r="O1337" i="1" s="1"/>
  <c r="N1337" i="1"/>
  <c r="M1337" i="1"/>
  <c r="O1336" i="1" a="1"/>
  <c r="O1336" i="1" s="1"/>
  <c r="N1336" i="1"/>
  <c r="M1336" i="1"/>
  <c r="O1335" i="1"/>
  <c r="O1335" i="1" a="1"/>
  <c r="N1335" i="1"/>
  <c r="M1335" i="1"/>
  <c r="O1334" i="1"/>
  <c r="O1334" i="1" a="1"/>
  <c r="N1334" i="1"/>
  <c r="M1334" i="1"/>
  <c r="O1333" i="1" a="1"/>
  <c r="O1333" i="1" s="1"/>
  <c r="N1333" i="1"/>
  <c r="M1333" i="1"/>
  <c r="O1332" i="1"/>
  <c r="O1332" i="1" a="1"/>
  <c r="N1332" i="1"/>
  <c r="M1332" i="1"/>
  <c r="O1331" i="1"/>
  <c r="O1331" i="1" a="1"/>
  <c r="N1331" i="1"/>
  <c r="M1331" i="1"/>
  <c r="O1330" i="1" a="1"/>
  <c r="O1330" i="1" s="1"/>
  <c r="N1330" i="1"/>
  <c r="M1330" i="1"/>
  <c r="O1329" i="1" a="1"/>
  <c r="O1329" i="1" s="1"/>
  <c r="N1329" i="1"/>
  <c r="M1329" i="1"/>
  <c r="O1328" i="1" a="1"/>
  <c r="O1328" i="1" s="1"/>
  <c r="N1328" i="1"/>
  <c r="M1328" i="1"/>
  <c r="O1327" i="1"/>
  <c r="O1327" i="1" a="1"/>
  <c r="N1327" i="1"/>
  <c r="M1327" i="1"/>
  <c r="O1326" i="1"/>
  <c r="O1326" i="1" a="1"/>
  <c r="N1326" i="1"/>
  <c r="M1326" i="1"/>
  <c r="O1325" i="1" a="1"/>
  <c r="O1325" i="1" s="1"/>
  <c r="N1325" i="1"/>
  <c r="M1325" i="1"/>
  <c r="O1324" i="1" a="1"/>
  <c r="O1324" i="1" s="1"/>
  <c r="N1324" i="1"/>
  <c r="M1324" i="1"/>
  <c r="O1323" i="1"/>
  <c r="O1323" i="1" a="1"/>
  <c r="N1323" i="1"/>
  <c r="M1323" i="1"/>
  <c r="O1322" i="1" a="1"/>
  <c r="O1322" i="1" s="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a="1"/>
  <c r="O1316" i="1" s="1"/>
  <c r="N1316" i="1"/>
  <c r="M1316" i="1"/>
  <c r="O1315" i="1"/>
  <c r="O1315" i="1" a="1"/>
  <c r="N1315" i="1"/>
  <c r="M1315" i="1"/>
  <c r="O1314" i="1"/>
  <c r="O1314" i="1" a="1"/>
  <c r="N1314" i="1"/>
  <c r="M1314" i="1"/>
  <c r="O1313" i="1" a="1"/>
  <c r="O1313" i="1" s="1"/>
  <c r="N1313" i="1"/>
  <c r="M1313" i="1"/>
  <c r="O1312" i="1"/>
  <c r="O1312" i="1" a="1"/>
  <c r="N1312" i="1"/>
  <c r="M1312" i="1"/>
  <c r="O1311" i="1"/>
  <c r="O1311" i="1" a="1"/>
  <c r="N1311" i="1"/>
  <c r="M1311" i="1"/>
  <c r="O1310" i="1" a="1"/>
  <c r="O1310" i="1" s="1"/>
  <c r="N1310" i="1"/>
  <c r="M1310" i="1"/>
  <c r="O1309" i="1" a="1"/>
  <c r="O1309" i="1" s="1"/>
  <c r="N1309" i="1"/>
  <c r="M1309" i="1"/>
  <c r="O1308" i="1" a="1"/>
  <c r="O1308" i="1" s="1"/>
  <c r="N1308" i="1"/>
  <c r="M1308" i="1"/>
  <c r="O1307" i="1"/>
  <c r="O1307" i="1" a="1"/>
  <c r="N1307" i="1"/>
  <c r="M1307" i="1"/>
  <c r="O1306" i="1"/>
  <c r="O1306" i="1" a="1"/>
  <c r="N1306" i="1"/>
  <c r="M1306" i="1"/>
  <c r="O1305" i="1" a="1"/>
  <c r="O1305" i="1" s="1"/>
  <c r="N1305" i="1"/>
  <c r="M1305" i="1"/>
  <c r="O1304" i="1" a="1"/>
  <c r="O1304" i="1" s="1"/>
  <c r="N1304" i="1"/>
  <c r="M1304" i="1"/>
  <c r="O1303" i="1"/>
  <c r="O1303" i="1" a="1"/>
  <c r="N1303" i="1"/>
  <c r="M1303" i="1"/>
  <c r="O1302" i="1" a="1"/>
  <c r="O1302" i="1" s="1"/>
  <c r="N1302" i="1"/>
  <c r="M1302" i="1"/>
  <c r="O1301" i="1" a="1"/>
  <c r="O1301" i="1" s="1"/>
  <c r="N1301" i="1"/>
  <c r="M1301" i="1"/>
  <c r="O1300" i="1" a="1"/>
  <c r="O1300" i="1" s="1"/>
  <c r="N1300" i="1"/>
  <c r="M1300" i="1"/>
  <c r="O1299" i="1"/>
  <c r="O1299" i="1" a="1"/>
  <c r="N1299" i="1"/>
  <c r="M1299" i="1"/>
  <c r="O1298" i="1" a="1"/>
  <c r="O1298" i="1" s="1"/>
  <c r="N1298" i="1"/>
  <c r="M1298" i="1"/>
  <c r="O1297" i="1" a="1"/>
  <c r="O1297" i="1" s="1"/>
  <c r="N1297" i="1"/>
  <c r="M1297" i="1"/>
  <c r="O1296" i="1"/>
  <c r="O1296" i="1" a="1"/>
  <c r="N1296" i="1"/>
  <c r="M1296" i="1"/>
  <c r="O1295" i="1"/>
  <c r="O1295" i="1" a="1"/>
  <c r="N1295" i="1"/>
  <c r="M1295" i="1"/>
  <c r="O1294" i="1" a="1"/>
  <c r="O1294" i="1" s="1"/>
  <c r="N1294" i="1"/>
  <c r="M1294" i="1"/>
  <c r="O1293" i="1" a="1"/>
  <c r="O1293" i="1" s="1"/>
  <c r="N1293" i="1"/>
  <c r="M1293" i="1"/>
  <c r="O1292" i="1" a="1"/>
  <c r="O1292" i="1" s="1"/>
  <c r="N1292" i="1"/>
  <c r="M1292" i="1"/>
  <c r="O1291" i="1"/>
  <c r="O1291" i="1" a="1"/>
  <c r="N1291" i="1"/>
  <c r="M1291" i="1"/>
  <c r="O1290" i="1" a="1"/>
  <c r="O1290" i="1" s="1"/>
  <c r="N1290" i="1"/>
  <c r="M1290" i="1"/>
  <c r="O1289" i="1" a="1"/>
  <c r="O1289" i="1" s="1"/>
  <c r="N1289" i="1"/>
  <c r="M1289" i="1"/>
  <c r="O1288" i="1" a="1"/>
  <c r="O1288" i="1" s="1"/>
  <c r="N1288" i="1"/>
  <c r="M1288" i="1"/>
  <c r="O1287" i="1"/>
  <c r="O1287" i="1" a="1"/>
  <c r="N1287" i="1"/>
  <c r="M1287" i="1"/>
  <c r="O1286" i="1"/>
  <c r="O1286" i="1" a="1"/>
  <c r="N1286" i="1"/>
  <c r="M1286" i="1"/>
  <c r="O1285" i="1" a="1"/>
  <c r="O1285" i="1" s="1"/>
  <c r="N1285" i="1"/>
  <c r="M1285" i="1"/>
  <c r="O1284" i="1"/>
  <c r="O1284" i="1" a="1"/>
  <c r="N1284" i="1"/>
  <c r="M1284" i="1"/>
  <c r="O1283" i="1"/>
  <c r="O1283" i="1" a="1"/>
  <c r="N1283" i="1"/>
  <c r="M1283" i="1"/>
  <c r="O1282" i="1"/>
  <c r="O1282" i="1" a="1"/>
  <c r="N1282" i="1"/>
  <c r="M1282" i="1"/>
  <c r="O1281" i="1" a="1"/>
  <c r="O1281" i="1" s="1"/>
  <c r="N1281" i="1"/>
  <c r="M1281" i="1"/>
  <c r="O1280" i="1" a="1"/>
  <c r="O1280" i="1" s="1"/>
  <c r="N1280" i="1"/>
  <c r="M1280" i="1"/>
  <c r="O1279" i="1"/>
  <c r="O1279" i="1" a="1"/>
  <c r="N1279" i="1"/>
  <c r="M1279" i="1"/>
  <c r="O1278" i="1" a="1"/>
  <c r="O1278" i="1" s="1"/>
  <c r="N1278" i="1"/>
  <c r="M1278" i="1"/>
  <c r="O1277" i="1" a="1"/>
  <c r="O1277" i="1" s="1"/>
  <c r="N1277" i="1"/>
  <c r="M1277" i="1"/>
  <c r="O1276" i="1" a="1"/>
  <c r="O1276" i="1" s="1"/>
  <c r="N1276" i="1"/>
  <c r="M1276" i="1"/>
  <c r="O1275" i="1"/>
  <c r="O1275" i="1" a="1"/>
  <c r="N1275" i="1"/>
  <c r="M1275" i="1"/>
  <c r="O1274" i="1" a="1"/>
  <c r="O1274" i="1" s="1"/>
  <c r="N1274" i="1"/>
  <c r="M1274" i="1"/>
  <c r="O1273" i="1" a="1"/>
  <c r="O1273" i="1" s="1"/>
  <c r="N1273" i="1"/>
  <c r="M1273" i="1"/>
  <c r="O1272" i="1" a="1"/>
  <c r="O1272" i="1" s="1"/>
  <c r="N1272" i="1"/>
  <c r="M1272" i="1"/>
  <c r="O1271" i="1"/>
  <c r="O1271" i="1" a="1"/>
  <c r="N1271" i="1"/>
  <c r="M1271" i="1"/>
  <c r="O1270" i="1" a="1"/>
  <c r="O1270" i="1" s="1"/>
  <c r="N1270" i="1"/>
  <c r="M1270" i="1"/>
  <c r="O1269" i="1" a="1"/>
  <c r="O1269" i="1" s="1"/>
  <c r="N1269" i="1"/>
  <c r="M1269" i="1"/>
  <c r="O1268" i="1" a="1"/>
  <c r="O1268" i="1" s="1"/>
  <c r="N1268" i="1"/>
  <c r="M1268" i="1"/>
  <c r="O1267" i="1"/>
  <c r="O1267" i="1" a="1"/>
  <c r="N1267" i="1"/>
  <c r="M1267" i="1"/>
  <c r="O1266" i="1" a="1"/>
  <c r="O1266" i="1" s="1"/>
  <c r="N1266" i="1"/>
  <c r="M1266" i="1"/>
  <c r="O1265" i="1" a="1"/>
  <c r="O1265" i="1" s="1"/>
  <c r="N1265" i="1"/>
  <c r="M1265" i="1"/>
  <c r="O1264" i="1" a="1"/>
  <c r="O1264" i="1" s="1"/>
  <c r="N1264" i="1"/>
  <c r="M1264" i="1"/>
  <c r="O1263" i="1"/>
  <c r="O1263" i="1" a="1"/>
  <c r="N1263" i="1"/>
  <c r="M1263" i="1"/>
  <c r="O1262" i="1"/>
  <c r="O1262" i="1" a="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a="1"/>
  <c r="O1252" i="1" s="1"/>
  <c r="N1252" i="1"/>
  <c r="M1252" i="1"/>
  <c r="O1251" i="1"/>
  <c r="O1251" i="1" a="1"/>
  <c r="N1251" i="1"/>
  <c r="M1251" i="1"/>
  <c r="O1250" i="1"/>
  <c r="O1250" i="1" a="1"/>
  <c r="N1250" i="1"/>
  <c r="M1250" i="1"/>
  <c r="O1249" i="1" a="1"/>
  <c r="O1249" i="1" s="1"/>
  <c r="N1249" i="1"/>
  <c r="M1249" i="1"/>
  <c r="O1248" i="1"/>
  <c r="O1248" i="1" a="1"/>
  <c r="N1248" i="1"/>
  <c r="M1248" i="1"/>
  <c r="O1247" i="1"/>
  <c r="O1247" i="1" a="1"/>
  <c r="N1247" i="1"/>
  <c r="M1247" i="1"/>
  <c r="O1246" i="1" a="1"/>
  <c r="O1246" i="1" s="1"/>
  <c r="N1246" i="1"/>
  <c r="M1246" i="1"/>
  <c r="O1245" i="1" a="1"/>
  <c r="O1245" i="1" s="1"/>
  <c r="N1245" i="1"/>
  <c r="M1245" i="1"/>
  <c r="O1244" i="1" a="1"/>
  <c r="O1244" i="1" s="1"/>
  <c r="N1244" i="1"/>
  <c r="M1244" i="1"/>
  <c r="O1243" i="1"/>
  <c r="O1243" i="1" a="1"/>
  <c r="N1243" i="1"/>
  <c r="M1243" i="1"/>
  <c r="O1242" i="1" a="1"/>
  <c r="O1242" i="1" s="1"/>
  <c r="N1242" i="1"/>
  <c r="M1242" i="1"/>
  <c r="O1241" i="1" a="1"/>
  <c r="O1241" i="1" s="1"/>
  <c r="N1241" i="1"/>
  <c r="M1241" i="1"/>
  <c r="O1240" i="1" a="1"/>
  <c r="O1240" i="1" s="1"/>
  <c r="N1240" i="1"/>
  <c r="M1240" i="1"/>
  <c r="O1239" i="1"/>
  <c r="O1239" i="1" a="1"/>
  <c r="N1239" i="1"/>
  <c r="M1239" i="1"/>
  <c r="O1238" i="1" a="1"/>
  <c r="O1238" i="1" s="1"/>
  <c r="N1238" i="1"/>
  <c r="M1238" i="1"/>
  <c r="O1237" i="1" a="1"/>
  <c r="O1237" i="1" s="1"/>
  <c r="N1237" i="1"/>
  <c r="M1237" i="1"/>
  <c r="O1236" i="1" a="1"/>
  <c r="O1236" i="1" s="1"/>
  <c r="N1236" i="1"/>
  <c r="M1236" i="1"/>
  <c r="O1235" i="1"/>
  <c r="O1235" i="1" a="1"/>
  <c r="N1235" i="1"/>
  <c r="M1235" i="1"/>
  <c r="O1234" i="1"/>
  <c r="O1234" i="1" a="1"/>
  <c r="N1234" i="1"/>
  <c r="M1234" i="1"/>
  <c r="O1233" i="1" a="1"/>
  <c r="O1233" i="1" s="1"/>
  <c r="N1233" i="1"/>
  <c r="M1233" i="1"/>
  <c r="O1232" i="1"/>
  <c r="O1232" i="1" a="1"/>
  <c r="N1232" i="1"/>
  <c r="M1232" i="1"/>
  <c r="O1231" i="1"/>
  <c r="O1231" i="1" a="1"/>
  <c r="N1231" i="1"/>
  <c r="M1231" i="1"/>
  <c r="O1230" i="1"/>
  <c r="O1230" i="1" a="1"/>
  <c r="N1230" i="1"/>
  <c r="M1230" i="1"/>
  <c r="O1229" i="1" a="1"/>
  <c r="O1229" i="1" s="1"/>
  <c r="N1229" i="1"/>
  <c r="M1229" i="1"/>
  <c r="O1228" i="1"/>
  <c r="O1228" i="1" a="1"/>
  <c r="N1228" i="1"/>
  <c r="M1228" i="1"/>
  <c r="O1227" i="1"/>
  <c r="O1227" i="1" a="1"/>
  <c r="N1227" i="1"/>
  <c r="M1227" i="1"/>
  <c r="O1226" i="1" a="1"/>
  <c r="O1226" i="1" s="1"/>
  <c r="N1226" i="1"/>
  <c r="M1226" i="1"/>
  <c r="O1225" i="1" a="1"/>
  <c r="O1225" i="1" s="1"/>
  <c r="N1225" i="1"/>
  <c r="M1225" i="1"/>
  <c r="O1224" i="1" a="1"/>
  <c r="O1224" i="1" s="1"/>
  <c r="N1224" i="1"/>
  <c r="M1224" i="1"/>
  <c r="O1223" i="1"/>
  <c r="O1223" i="1" a="1"/>
  <c r="N1223" i="1"/>
  <c r="M1223" i="1"/>
  <c r="O1222" i="1" a="1"/>
  <c r="O1222" i="1" s="1"/>
  <c r="N1222" i="1"/>
  <c r="M1222" i="1"/>
  <c r="O1221" i="1" a="1"/>
  <c r="O1221" i="1" s="1"/>
  <c r="N1221" i="1"/>
  <c r="M1221" i="1"/>
  <c r="O1220" i="1"/>
  <c r="O1220" i="1" a="1"/>
  <c r="N1220" i="1"/>
  <c r="M1220" i="1"/>
  <c r="O1219" i="1"/>
  <c r="O1219" i="1" a="1"/>
  <c r="N1219" i="1"/>
  <c r="M1219" i="1"/>
  <c r="O1218" i="1" a="1"/>
  <c r="O1218" i="1" s="1"/>
  <c r="N1218" i="1"/>
  <c r="M1218" i="1"/>
  <c r="O1217" i="1" a="1"/>
  <c r="O1217" i="1" s="1"/>
  <c r="N1217" i="1"/>
  <c r="M1217" i="1"/>
  <c r="O1216" i="1" a="1"/>
  <c r="O1216" i="1" s="1"/>
  <c r="N1216" i="1"/>
  <c r="M1216" i="1"/>
  <c r="O1215" i="1"/>
  <c r="O1215" i="1" a="1"/>
  <c r="N1215" i="1"/>
  <c r="M1215" i="1"/>
  <c r="O1214" i="1" a="1"/>
  <c r="O1214" i="1" s="1"/>
  <c r="N1214" i="1"/>
  <c r="M1214" i="1"/>
  <c r="O1213" i="1" a="1"/>
  <c r="O1213" i="1" s="1"/>
  <c r="N1213" i="1"/>
  <c r="M1213" i="1"/>
  <c r="O1212" i="1" a="1"/>
  <c r="O1212" i="1" s="1"/>
  <c r="N1212" i="1"/>
  <c r="M1212" i="1"/>
  <c r="O1211" i="1"/>
  <c r="O1211" i="1" a="1"/>
  <c r="N1211" i="1"/>
  <c r="M1211" i="1"/>
  <c r="O1210" i="1" a="1"/>
  <c r="O1210" i="1" s="1"/>
  <c r="N1210" i="1"/>
  <c r="M1210" i="1"/>
  <c r="O1209" i="1" a="1"/>
  <c r="O1209" i="1" s="1"/>
  <c r="N1209" i="1"/>
  <c r="M1209" i="1"/>
  <c r="O1208" i="1"/>
  <c r="O1208" i="1" a="1"/>
  <c r="N1208" i="1"/>
  <c r="M1208" i="1"/>
  <c r="O1207" i="1"/>
  <c r="O1207" i="1" a="1"/>
  <c r="N1207" i="1"/>
  <c r="M1207" i="1"/>
  <c r="O1206" i="1" a="1"/>
  <c r="O1206" i="1" s="1"/>
  <c r="N1206" i="1"/>
  <c r="M1206" i="1"/>
  <c r="O1205" i="1" a="1"/>
  <c r="O1205" i="1" s="1"/>
  <c r="N1205" i="1"/>
  <c r="M1205" i="1"/>
  <c r="O1204" i="1" a="1"/>
  <c r="O1204" i="1" s="1"/>
  <c r="N1204" i="1"/>
  <c r="M1204" i="1"/>
  <c r="O1203" i="1"/>
  <c r="O1203" i="1" a="1"/>
  <c r="N1203" i="1"/>
  <c r="M1203" i="1"/>
  <c r="O1202" i="1" a="1"/>
  <c r="O1202" i="1" s="1"/>
  <c r="N1202" i="1"/>
  <c r="M1202" i="1"/>
  <c r="O1201" i="1" a="1"/>
  <c r="O1201" i="1" s="1"/>
  <c r="N1201" i="1"/>
  <c r="M1201" i="1"/>
  <c r="O1200" i="1" a="1"/>
  <c r="O1200" i="1" s="1"/>
  <c r="N1200" i="1"/>
  <c r="M1200" i="1"/>
  <c r="O1199" i="1"/>
  <c r="O1199" i="1" a="1"/>
  <c r="N1199" i="1"/>
  <c r="M1199" i="1"/>
  <c r="O1198" i="1"/>
  <c r="O1198" i="1" a="1"/>
  <c r="N1198" i="1"/>
  <c r="M1198" i="1"/>
  <c r="O1197" i="1" a="1"/>
  <c r="O1197" i="1" s="1"/>
  <c r="N1197" i="1"/>
  <c r="M1197" i="1"/>
  <c r="O1196" i="1" a="1"/>
  <c r="O1196" i="1" s="1"/>
  <c r="N1196" i="1"/>
  <c r="M1196" i="1"/>
  <c r="O1195" i="1"/>
  <c r="O1195" i="1" a="1"/>
  <c r="N1195" i="1"/>
  <c r="M1195" i="1"/>
  <c r="O1194" i="1" a="1"/>
  <c r="O1194" i="1" s="1"/>
  <c r="N1194" i="1"/>
  <c r="M1194" i="1"/>
  <c r="O1193" i="1" a="1"/>
  <c r="O1193" i="1" s="1"/>
  <c r="N1193" i="1"/>
  <c r="M1193" i="1"/>
  <c r="O1192" i="1" a="1"/>
  <c r="O1192" i="1" s="1"/>
  <c r="N1192" i="1"/>
  <c r="M1192" i="1"/>
  <c r="O1191" i="1"/>
  <c r="O1191" i="1" a="1"/>
  <c r="N1191" i="1"/>
  <c r="M1191" i="1"/>
  <c r="O1190" i="1" a="1"/>
  <c r="O1190" i="1" s="1"/>
  <c r="N1190" i="1"/>
  <c r="M1190" i="1"/>
  <c r="O1189" i="1" a="1"/>
  <c r="O1189" i="1" s="1"/>
  <c r="N1189" i="1"/>
  <c r="M1189" i="1"/>
  <c r="O1188" i="1" a="1"/>
  <c r="O1188" i="1" s="1"/>
  <c r="N1188" i="1"/>
  <c r="M1188" i="1"/>
  <c r="O1187" i="1"/>
  <c r="O1187" i="1" a="1"/>
  <c r="N1187" i="1"/>
  <c r="M1187" i="1"/>
  <c r="O1186" i="1"/>
  <c r="O1186" i="1" a="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c r="O1180" i="1" a="1"/>
  <c r="N1180" i="1"/>
  <c r="M1180" i="1"/>
  <c r="O1179" i="1"/>
  <c r="O1179" i="1" a="1"/>
  <c r="N1179" i="1"/>
  <c r="M1179" i="1"/>
  <c r="O1178" i="1" a="1"/>
  <c r="O1178" i="1" s="1"/>
  <c r="N1178" i="1"/>
  <c r="M1178" i="1"/>
  <c r="O1177" i="1" a="1"/>
  <c r="O1177" i="1" s="1"/>
  <c r="N1177" i="1"/>
  <c r="M1177" i="1"/>
  <c r="O1176" i="1" a="1"/>
  <c r="O1176" i="1" s="1"/>
  <c r="N1176" i="1"/>
  <c r="M1176" i="1"/>
  <c r="O1175" i="1"/>
  <c r="O1175" i="1" a="1"/>
  <c r="N1175" i="1"/>
  <c r="M1175" i="1"/>
  <c r="O1174" i="1" a="1"/>
  <c r="O1174" i="1" s="1"/>
  <c r="N1174" i="1"/>
  <c r="M1174" i="1"/>
  <c r="O1173" i="1" a="1"/>
  <c r="O1173" i="1" s="1"/>
  <c r="N1173" i="1"/>
  <c r="M1173" i="1"/>
  <c r="O1172" i="1" a="1"/>
  <c r="O1172" i="1" s="1"/>
  <c r="N1172" i="1"/>
  <c r="M1172" i="1"/>
  <c r="O1171" i="1"/>
  <c r="O1171" i="1" a="1"/>
  <c r="N1171" i="1"/>
  <c r="M1171" i="1"/>
  <c r="O1170" i="1"/>
  <c r="O1170" i="1" a="1"/>
  <c r="N1170" i="1"/>
  <c r="M1170" i="1"/>
  <c r="O1169" i="1" a="1"/>
  <c r="O1169" i="1" s="1"/>
  <c r="N1169" i="1"/>
  <c r="M1169" i="1"/>
  <c r="O1168" i="1"/>
  <c r="O1168" i="1" a="1"/>
  <c r="N1168" i="1"/>
  <c r="M1168" i="1"/>
  <c r="O1167" i="1"/>
  <c r="O1167" i="1" a="1"/>
  <c r="N1167" i="1"/>
  <c r="M1167" i="1"/>
  <c r="O1166" i="1" a="1"/>
  <c r="O1166" i="1" s="1"/>
  <c r="N1166" i="1"/>
  <c r="M1166" i="1"/>
  <c r="O1165" i="1" a="1"/>
  <c r="O1165" i="1" s="1"/>
  <c r="N1165" i="1"/>
  <c r="M1165" i="1"/>
  <c r="O1164" i="1" a="1"/>
  <c r="O1164" i="1" s="1"/>
  <c r="N1164" i="1"/>
  <c r="M1164" i="1"/>
  <c r="O1163" i="1"/>
  <c r="O1163" i="1" a="1"/>
  <c r="N1163" i="1"/>
  <c r="M1163" i="1"/>
  <c r="O1162" i="1" a="1"/>
  <c r="O1162" i="1" s="1"/>
  <c r="N1162" i="1"/>
  <c r="M1162" i="1"/>
  <c r="O1161" i="1" a="1"/>
  <c r="O1161" i="1" s="1"/>
  <c r="N1161" i="1"/>
  <c r="M1161" i="1"/>
  <c r="O1160" i="1" a="1"/>
  <c r="O1160" i="1" s="1"/>
  <c r="N1160" i="1"/>
  <c r="M1160" i="1"/>
  <c r="O1159" i="1"/>
  <c r="O1159" i="1" a="1"/>
  <c r="N1159" i="1"/>
  <c r="M1159" i="1"/>
  <c r="O1158" i="1" a="1"/>
  <c r="O1158" i="1" s="1"/>
  <c r="N1158" i="1"/>
  <c r="M1158" i="1"/>
  <c r="O1157" i="1" a="1"/>
  <c r="O1157" i="1" s="1"/>
  <c r="N1157" i="1"/>
  <c r="M1157" i="1"/>
  <c r="O1156" i="1"/>
  <c r="O1156" i="1" a="1"/>
  <c r="N1156" i="1"/>
  <c r="M1156" i="1"/>
  <c r="O1155" i="1"/>
  <c r="O1155" i="1" a="1"/>
  <c r="N1155" i="1"/>
  <c r="M1155" i="1"/>
  <c r="O1154" i="1"/>
  <c r="O1154" i="1" a="1"/>
  <c r="N1154" i="1"/>
  <c r="M1154" i="1"/>
  <c r="O1153" i="1" a="1"/>
  <c r="O1153" i="1" s="1"/>
  <c r="N1153" i="1"/>
  <c r="M1153" i="1"/>
  <c r="O1152" i="1"/>
  <c r="O1152" i="1" a="1"/>
  <c r="N1152" i="1"/>
  <c r="M1152" i="1"/>
  <c r="O1151" i="1"/>
  <c r="O1151" i="1" a="1"/>
  <c r="N1151" i="1"/>
  <c r="M1151" i="1"/>
  <c r="O1150" i="1" a="1"/>
  <c r="O1150" i="1" s="1"/>
  <c r="N1150" i="1"/>
  <c r="M1150" i="1"/>
  <c r="O1149" i="1" a="1"/>
  <c r="O1149" i="1" s="1"/>
  <c r="N1149" i="1"/>
  <c r="M1149" i="1"/>
  <c r="O1148" i="1" a="1"/>
  <c r="O1148" i="1" s="1"/>
  <c r="N1148" i="1"/>
  <c r="M1148" i="1"/>
  <c r="O1147" i="1"/>
  <c r="O1147" i="1" a="1"/>
  <c r="N1147" i="1"/>
  <c r="M1147" i="1"/>
  <c r="O1146" i="1" a="1"/>
  <c r="O1146" i="1" s="1"/>
  <c r="N1146" i="1"/>
  <c r="M1146" i="1"/>
  <c r="O1145" i="1" a="1"/>
  <c r="O1145" i="1" s="1"/>
  <c r="N1145" i="1"/>
  <c r="M1145" i="1"/>
  <c r="O1144" i="1" a="1"/>
  <c r="O1144" i="1" s="1"/>
  <c r="N1144" i="1"/>
  <c r="M1144" i="1"/>
  <c r="O1143" i="1"/>
  <c r="O1143" i="1" a="1"/>
  <c r="N1143" i="1"/>
  <c r="M1143" i="1"/>
  <c r="O1142" i="1" a="1"/>
  <c r="O1142" i="1" s="1"/>
  <c r="N1142" i="1"/>
  <c r="M1142" i="1"/>
  <c r="O1141" i="1" a="1"/>
  <c r="O1141" i="1" s="1"/>
  <c r="N1141" i="1"/>
  <c r="M1141" i="1"/>
  <c r="O1140" i="1" a="1"/>
  <c r="O1140" i="1" s="1"/>
  <c r="N1140" i="1"/>
  <c r="M1140" i="1"/>
  <c r="O1139" i="1"/>
  <c r="O1139" i="1" a="1"/>
  <c r="N1139" i="1"/>
  <c r="M1139" i="1"/>
  <c r="O1138" i="1" a="1"/>
  <c r="O1138" i="1" s="1"/>
  <c r="N1138" i="1"/>
  <c r="M1138" i="1"/>
  <c r="O1137" i="1" a="1"/>
  <c r="O1137" i="1" s="1"/>
  <c r="N1137" i="1"/>
  <c r="M1137" i="1"/>
  <c r="O1136" i="1" a="1"/>
  <c r="O1136" i="1" s="1"/>
  <c r="N1136" i="1"/>
  <c r="M1136" i="1"/>
  <c r="O1135" i="1"/>
  <c r="O1135" i="1" a="1"/>
  <c r="N1135" i="1"/>
  <c r="M1135" i="1"/>
  <c r="O1134" i="1"/>
  <c r="O1134" i="1" a="1"/>
  <c r="N1134" i="1"/>
  <c r="M1134" i="1"/>
  <c r="O1133" i="1" a="1"/>
  <c r="O1133" i="1" s="1"/>
  <c r="N1133" i="1"/>
  <c r="M1133" i="1"/>
  <c r="O1132" i="1" a="1"/>
  <c r="O1132" i="1" s="1"/>
  <c r="N1132" i="1"/>
  <c r="M1132" i="1"/>
  <c r="O1131" i="1"/>
  <c r="O1131" i="1" a="1"/>
  <c r="N1131" i="1"/>
  <c r="M1131" i="1"/>
  <c r="O1130" i="1"/>
  <c r="O1130" i="1" a="1"/>
  <c r="N1130" i="1"/>
  <c r="M1130" i="1"/>
  <c r="O1129" i="1" a="1"/>
  <c r="O1129" i="1" s="1"/>
  <c r="N1129" i="1"/>
  <c r="M1129" i="1"/>
  <c r="O1128" i="1"/>
  <c r="O1128" i="1" a="1"/>
  <c r="N1128" i="1"/>
  <c r="M1128" i="1"/>
  <c r="O1127" i="1"/>
  <c r="O1127" i="1" a="1"/>
  <c r="N1127" i="1"/>
  <c r="M1127" i="1"/>
  <c r="O1126" i="1" a="1"/>
  <c r="O1126" i="1" s="1"/>
  <c r="N1126" i="1"/>
  <c r="M1126" i="1"/>
  <c r="O1125" i="1" a="1"/>
  <c r="O1125" i="1" s="1"/>
  <c r="N1125" i="1"/>
  <c r="M1125" i="1"/>
  <c r="O1124" i="1" a="1"/>
  <c r="O1124" i="1" s="1"/>
  <c r="N1124" i="1"/>
  <c r="M1124" i="1"/>
  <c r="O1123" i="1"/>
  <c r="O1123" i="1" a="1"/>
  <c r="N1123" i="1"/>
  <c r="M1123" i="1"/>
  <c r="O1122" i="1"/>
  <c r="O1122" i="1" a="1"/>
  <c r="N1122" i="1"/>
  <c r="M1122" i="1"/>
  <c r="O1121" i="1" a="1"/>
  <c r="O1121" i="1" s="1"/>
  <c r="N1121" i="1"/>
  <c r="M1121" i="1"/>
  <c r="O1120" i="1" a="1"/>
  <c r="O1120" i="1" s="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a="1"/>
  <c r="O1114" i="1" s="1"/>
  <c r="N1114" i="1"/>
  <c r="M1114" i="1"/>
  <c r="O1113" i="1" a="1"/>
  <c r="O1113" i="1" s="1"/>
  <c r="N1113" i="1"/>
  <c r="M1113" i="1"/>
  <c r="O1112" i="1" a="1"/>
  <c r="O1112" i="1" s="1"/>
  <c r="N1112" i="1"/>
  <c r="M1112" i="1"/>
  <c r="O1111" i="1"/>
  <c r="O1111" i="1" a="1"/>
  <c r="N1111" i="1"/>
  <c r="M1111" i="1"/>
  <c r="O1110" i="1" a="1"/>
  <c r="O1110" i="1" s="1"/>
  <c r="N1110" i="1"/>
  <c r="M1110" i="1"/>
  <c r="O1109" i="1" a="1"/>
  <c r="O1109" i="1" s="1"/>
  <c r="N1109" i="1"/>
  <c r="M1109" i="1"/>
  <c r="O1108" i="1" a="1"/>
  <c r="O1108" i="1" s="1"/>
  <c r="N1108" i="1"/>
  <c r="M1108" i="1"/>
  <c r="O1107" i="1"/>
  <c r="O1107" i="1" a="1"/>
  <c r="N1107" i="1"/>
  <c r="M1107" i="1"/>
  <c r="O1106" i="1" a="1"/>
  <c r="O1106" i="1" s="1"/>
  <c r="N1106" i="1"/>
  <c r="M1106" i="1"/>
  <c r="O1105" i="1" a="1"/>
  <c r="O1105" i="1" s="1"/>
  <c r="N1105" i="1"/>
  <c r="M1105" i="1"/>
  <c r="O1104" i="1"/>
  <c r="O1104" i="1" a="1"/>
  <c r="N1104" i="1"/>
  <c r="M1104" i="1"/>
  <c r="O1103" i="1"/>
  <c r="O1103" i="1" a="1"/>
  <c r="N1103" i="1"/>
  <c r="M1103" i="1"/>
  <c r="O1102" i="1"/>
  <c r="O1102" i="1" a="1"/>
  <c r="N1102" i="1"/>
  <c r="M1102" i="1"/>
  <c r="O1101" i="1" a="1"/>
  <c r="O1101" i="1" s="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c r="O1095" i="1" a="1"/>
  <c r="N1095" i="1"/>
  <c r="M1095" i="1"/>
  <c r="O1094" i="1" a="1"/>
  <c r="O1094" i="1" s="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c r="O1087" i="1" a="1"/>
  <c r="N1087" i="1"/>
  <c r="M1087" i="1"/>
  <c r="O1086" i="1" a="1"/>
  <c r="O1086" i="1" s="1"/>
  <c r="N1086" i="1"/>
  <c r="M1086" i="1"/>
  <c r="O1085" i="1" a="1"/>
  <c r="O1085" i="1" s="1"/>
  <c r="N1085" i="1"/>
  <c r="M1085" i="1"/>
  <c r="O1084" i="1" a="1"/>
  <c r="O1084" i="1" s="1"/>
  <c r="N1084" i="1"/>
  <c r="M1084" i="1"/>
  <c r="O1083" i="1"/>
  <c r="O1083" i="1" a="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a="1"/>
  <c r="O1077" i="1" s="1"/>
  <c r="N1077" i="1"/>
  <c r="M1077" i="1"/>
  <c r="O1076" i="1"/>
  <c r="O1076" i="1" a="1"/>
  <c r="N1076" i="1"/>
  <c r="M1076" i="1"/>
  <c r="O1075" i="1"/>
  <c r="O1075" i="1" a="1"/>
  <c r="N1075" i="1"/>
  <c r="M1075" i="1"/>
  <c r="O1074" i="1" a="1"/>
  <c r="O1074" i="1" s="1"/>
  <c r="N1074" i="1"/>
  <c r="M1074" i="1"/>
  <c r="O1073" i="1" a="1"/>
  <c r="O1073" i="1" s="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c r="O1067" i="1" a="1"/>
  <c r="N1067" i="1"/>
  <c r="M1067" i="1"/>
  <c r="O1066" i="1" a="1"/>
  <c r="O1066" i="1" s="1"/>
  <c r="N1066" i="1"/>
  <c r="M1066" i="1"/>
  <c r="O1065" i="1" a="1"/>
  <c r="O1065" i="1" s="1"/>
  <c r="N1065" i="1"/>
  <c r="M1065" i="1"/>
  <c r="O1064" i="1" a="1"/>
  <c r="O1064" i="1" s="1"/>
  <c r="N1064" i="1"/>
  <c r="M1064" i="1"/>
  <c r="O1063" i="1"/>
  <c r="O1063" i="1" a="1"/>
  <c r="N1063" i="1"/>
  <c r="M1063" i="1"/>
  <c r="O1062" i="1" a="1"/>
  <c r="O1062" i="1" s="1"/>
  <c r="N1062" i="1"/>
  <c r="M1062" i="1"/>
  <c r="O1061" i="1" a="1"/>
  <c r="O1061" i="1" s="1"/>
  <c r="N1061" i="1"/>
  <c r="M1061" i="1"/>
  <c r="O1060" i="1" a="1"/>
  <c r="O1060" i="1" s="1"/>
  <c r="N1060" i="1"/>
  <c r="M1060" i="1"/>
  <c r="O1059" i="1"/>
  <c r="O1059" i="1" a="1"/>
  <c r="N1059" i="1"/>
  <c r="M1059" i="1"/>
  <c r="O1058" i="1"/>
  <c r="O1058" i="1" a="1"/>
  <c r="N1058" i="1"/>
  <c r="M1058" i="1"/>
  <c r="O1057" i="1" a="1"/>
  <c r="O1057" i="1" s="1"/>
  <c r="N1057" i="1"/>
  <c r="M1057" i="1"/>
  <c r="O1056" i="1"/>
  <c r="O1056" i="1" a="1"/>
  <c r="N1056" i="1"/>
  <c r="M1056" i="1"/>
  <c r="O1055" i="1"/>
  <c r="O1055" i="1" a="1"/>
  <c r="N1055" i="1"/>
  <c r="M1055" i="1"/>
  <c r="O1054" i="1" a="1"/>
  <c r="O1054" i="1" s="1"/>
  <c r="N1054" i="1"/>
  <c r="M1054" i="1"/>
  <c r="O1053" i="1" a="1"/>
  <c r="O1053" i="1" s="1"/>
  <c r="N1053" i="1"/>
  <c r="M1053" i="1"/>
  <c r="O1052" i="1" a="1"/>
  <c r="O1052" i="1" s="1"/>
  <c r="N1052" i="1"/>
  <c r="M1052" i="1"/>
  <c r="O1051" i="1"/>
  <c r="O1051" i="1" a="1"/>
  <c r="N1051" i="1"/>
  <c r="M1051" i="1"/>
  <c r="O1050" i="1"/>
  <c r="O1050" i="1" a="1"/>
  <c r="N1050" i="1"/>
  <c r="M1050" i="1"/>
  <c r="O1049" i="1" a="1"/>
  <c r="O1049" i="1" s="1"/>
  <c r="N1049" i="1"/>
  <c r="M1049" i="1"/>
  <c r="O1048" i="1" a="1"/>
  <c r="O1048" i="1" s="1"/>
  <c r="N1048" i="1"/>
  <c r="M1048" i="1"/>
  <c r="O1047" i="1"/>
  <c r="O1047" i="1" a="1"/>
  <c r="N1047" i="1"/>
  <c r="M1047" i="1"/>
  <c r="O1046" i="1" a="1"/>
  <c r="O1046" i="1" s="1"/>
  <c r="N1046" i="1"/>
  <c r="M1046" i="1"/>
  <c r="O1045" i="1" a="1"/>
  <c r="O1045" i="1" s="1"/>
  <c r="N1045" i="1"/>
  <c r="M1045" i="1"/>
  <c r="O1044" i="1" a="1"/>
  <c r="O1044" i="1" s="1"/>
  <c r="N1044" i="1"/>
  <c r="M1044" i="1"/>
  <c r="O1043" i="1"/>
  <c r="O1043" i="1" a="1"/>
  <c r="N1043" i="1"/>
  <c r="M1043" i="1"/>
  <c r="O1042" i="1"/>
  <c r="O1042" i="1" a="1"/>
  <c r="N1042" i="1"/>
  <c r="M1042" i="1"/>
  <c r="O1041" i="1" a="1"/>
  <c r="O1041" i="1" s="1"/>
  <c r="N1041" i="1"/>
  <c r="M1041" i="1"/>
  <c r="O1040" i="1"/>
  <c r="O1040" i="1" a="1"/>
  <c r="N1040" i="1"/>
  <c r="M1040" i="1"/>
  <c r="O1039" i="1"/>
  <c r="O1039" i="1" a="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c r="O1031" i="1" a="1"/>
  <c r="N1031" i="1"/>
  <c r="M1031" i="1"/>
  <c r="O1030" i="1"/>
  <c r="O1030" i="1" a="1"/>
  <c r="N1030" i="1"/>
  <c r="M1030" i="1"/>
  <c r="O1029" i="1" a="1"/>
  <c r="O1029" i="1" s="1"/>
  <c r="N1029" i="1"/>
  <c r="M1029" i="1"/>
  <c r="O1028" i="1"/>
  <c r="O1028" i="1" a="1"/>
  <c r="N1028" i="1"/>
  <c r="M1028" i="1"/>
  <c r="O1027" i="1"/>
  <c r="O1027" i="1" a="1"/>
  <c r="N1027" i="1"/>
  <c r="M1027" i="1"/>
  <c r="O1026" i="1" a="1"/>
  <c r="O1026" i="1" s="1"/>
  <c r="N1026" i="1"/>
  <c r="M1026" i="1"/>
  <c r="O1025" i="1" a="1"/>
  <c r="O1025" i="1" s="1"/>
  <c r="N1025" i="1"/>
  <c r="M1025" i="1"/>
  <c r="O1024" i="1"/>
  <c r="O1024" i="1" a="1"/>
  <c r="N1024" i="1"/>
  <c r="M1024" i="1"/>
  <c r="O1023" i="1"/>
  <c r="O1023" i="1" a="1"/>
  <c r="N1023" i="1"/>
  <c r="M1023" i="1"/>
  <c r="O1022" i="1" a="1"/>
  <c r="O1022" i="1" s="1"/>
  <c r="N1022" i="1"/>
  <c r="M1022" i="1"/>
  <c r="O1021" i="1" a="1"/>
  <c r="O1021" i="1" s="1"/>
  <c r="N1021" i="1"/>
  <c r="M1021" i="1"/>
  <c r="O1020" i="1" a="1"/>
  <c r="O1020" i="1" s="1"/>
  <c r="N1020" i="1"/>
  <c r="M1020" i="1"/>
  <c r="O1019" i="1"/>
  <c r="O1019" i="1" a="1"/>
  <c r="N1019" i="1"/>
  <c r="M1019" i="1"/>
  <c r="O1018" i="1"/>
  <c r="O1018" i="1" a="1"/>
  <c r="N1018" i="1"/>
  <c r="M1018" i="1"/>
  <c r="O1017" i="1" a="1"/>
  <c r="O1017" i="1" s="1"/>
  <c r="N1017" i="1"/>
  <c r="M1017" i="1"/>
  <c r="O1016" i="1" a="1"/>
  <c r="O1016" i="1" s="1"/>
  <c r="N1016" i="1"/>
  <c r="M1016" i="1"/>
  <c r="O1015" i="1"/>
  <c r="O1015" i="1" a="1"/>
  <c r="N1015" i="1"/>
  <c r="M1015" i="1"/>
  <c r="O1014" i="1" a="1"/>
  <c r="O1014" i="1" s="1"/>
  <c r="N1014" i="1"/>
  <c r="M1014" i="1"/>
  <c r="O1013" i="1" a="1"/>
  <c r="O1013" i="1" s="1"/>
  <c r="N1013" i="1"/>
  <c r="M1013" i="1"/>
  <c r="O1012" i="1" a="1"/>
  <c r="O1012" i="1" s="1"/>
  <c r="N1012" i="1"/>
  <c r="M1012" i="1"/>
  <c r="O1011" i="1"/>
  <c r="O1011" i="1" a="1"/>
  <c r="N1011" i="1"/>
  <c r="M1011" i="1"/>
  <c r="O1010" i="1" a="1"/>
  <c r="O1010" i="1" s="1"/>
  <c r="N1010" i="1"/>
  <c r="M1010" i="1"/>
  <c r="O1009" i="1" a="1"/>
  <c r="O1009" i="1" s="1"/>
  <c r="N1009" i="1"/>
  <c r="M1009" i="1"/>
  <c r="O1008" i="1" a="1"/>
  <c r="O1008" i="1" s="1"/>
  <c r="N1008" i="1"/>
  <c r="M1008" i="1"/>
  <c r="O1007" i="1"/>
  <c r="O1007" i="1" a="1"/>
  <c r="N1007" i="1"/>
  <c r="M1007" i="1"/>
  <c r="O1006" i="1"/>
  <c r="O1006" i="1" a="1"/>
  <c r="N1006" i="1"/>
  <c r="M1006" i="1"/>
  <c r="O1005" i="1" a="1"/>
  <c r="O1005" i="1" s="1"/>
  <c r="N1005" i="1"/>
  <c r="M1005" i="1"/>
  <c r="O1004" i="1"/>
  <c r="O1004" i="1" a="1"/>
  <c r="N1004" i="1"/>
  <c r="M1004" i="1"/>
  <c r="O1003" i="1"/>
  <c r="O1003" i="1" a="1"/>
  <c r="N1003" i="1"/>
  <c r="M1003" i="1"/>
  <c r="O1002" i="1" a="1"/>
  <c r="O1002" i="1" s="1"/>
  <c r="N1002" i="1"/>
  <c r="M1002" i="1"/>
  <c r="O1001" i="1" a="1"/>
  <c r="O1001" i="1" s="1"/>
  <c r="N1001" i="1"/>
  <c r="M1001" i="1"/>
  <c r="O1000" i="1" a="1"/>
  <c r="O1000" i="1" s="1"/>
  <c r="N1000" i="1"/>
  <c r="M1000" i="1"/>
  <c r="O999" i="1"/>
  <c r="O999" i="1" a="1"/>
  <c r="N999" i="1"/>
  <c r="M999" i="1"/>
  <c r="O998" i="1" a="1"/>
  <c r="O998" i="1" s="1"/>
  <c r="N998" i="1"/>
  <c r="M998" i="1"/>
  <c r="O997" i="1" a="1"/>
  <c r="O997" i="1" s="1"/>
  <c r="N997" i="1"/>
  <c r="M997" i="1"/>
  <c r="O996" i="1" a="1"/>
  <c r="O996" i="1" s="1"/>
  <c r="N996" i="1"/>
  <c r="M996" i="1"/>
  <c r="O995" i="1"/>
  <c r="O995" i="1" a="1"/>
  <c r="N995" i="1"/>
  <c r="M995" i="1"/>
  <c r="O994" i="1"/>
  <c r="O994" i="1" a="1"/>
  <c r="N994" i="1"/>
  <c r="M994" i="1"/>
  <c r="O993" i="1" a="1"/>
  <c r="O993" i="1" s="1"/>
  <c r="N993" i="1"/>
  <c r="M993" i="1"/>
  <c r="O992" i="1" a="1"/>
  <c r="O992" i="1" s="1"/>
  <c r="N992" i="1"/>
  <c r="M992" i="1"/>
  <c r="O991" i="1"/>
  <c r="O991" i="1" a="1"/>
  <c r="N991" i="1"/>
  <c r="M991" i="1"/>
  <c r="O990" i="1" a="1"/>
  <c r="O990" i="1" s="1"/>
  <c r="N990" i="1"/>
  <c r="M990" i="1"/>
  <c r="O989" i="1" a="1"/>
  <c r="O989" i="1" s="1"/>
  <c r="N989" i="1"/>
  <c r="M989" i="1"/>
  <c r="O988" i="1" a="1"/>
  <c r="O988" i="1" s="1"/>
  <c r="N988" i="1"/>
  <c r="M988" i="1"/>
  <c r="O987" i="1"/>
  <c r="O987" i="1" a="1"/>
  <c r="N987" i="1"/>
  <c r="M987" i="1"/>
  <c r="O986" i="1" a="1"/>
  <c r="O986" i="1" s="1"/>
  <c r="N986" i="1"/>
  <c r="M986" i="1"/>
  <c r="O985" i="1" a="1"/>
  <c r="O985" i="1" s="1"/>
  <c r="N985" i="1"/>
  <c r="M985" i="1"/>
  <c r="O984" i="1"/>
  <c r="O984" i="1" a="1"/>
  <c r="N984" i="1"/>
  <c r="M984" i="1"/>
  <c r="O983" i="1"/>
  <c r="O983" i="1" a="1"/>
  <c r="N983" i="1"/>
  <c r="M983" i="1"/>
  <c r="O982" i="1" a="1"/>
  <c r="O982" i="1" s="1"/>
  <c r="N982" i="1"/>
  <c r="M982" i="1"/>
  <c r="O981" i="1" a="1"/>
  <c r="O981" i="1" s="1"/>
  <c r="N981" i="1"/>
  <c r="M981" i="1"/>
  <c r="O980" i="1" a="1"/>
  <c r="O980" i="1" s="1"/>
  <c r="N980" i="1"/>
  <c r="M980" i="1"/>
  <c r="O979" i="1"/>
  <c r="O979" i="1" a="1"/>
  <c r="N979" i="1"/>
  <c r="M979" i="1"/>
  <c r="O978" i="1"/>
  <c r="O978" i="1" a="1"/>
  <c r="N978" i="1"/>
  <c r="M978" i="1"/>
  <c r="O977" i="1"/>
  <c r="O977" i="1" a="1"/>
  <c r="N977" i="1"/>
  <c r="M977" i="1"/>
  <c r="O976" i="1" a="1"/>
  <c r="O976" i="1" s="1"/>
  <c r="N976" i="1"/>
  <c r="M976" i="1"/>
  <c r="O975" i="1"/>
  <c r="O975" i="1" a="1"/>
  <c r="N975" i="1"/>
  <c r="M975" i="1"/>
  <c r="O974" i="1" a="1"/>
  <c r="O974" i="1" s="1"/>
  <c r="N974" i="1"/>
  <c r="M974" i="1"/>
  <c r="O973" i="1"/>
  <c r="O973" i="1" a="1"/>
  <c r="N973" i="1"/>
  <c r="M973" i="1"/>
  <c r="O972" i="1" a="1"/>
  <c r="O972" i="1" s="1"/>
  <c r="N972" i="1"/>
  <c r="M972" i="1"/>
  <c r="O971" i="1"/>
  <c r="O971" i="1" a="1"/>
  <c r="N971" i="1"/>
  <c r="M971" i="1"/>
  <c r="O970" i="1" a="1"/>
  <c r="O970" i="1" s="1"/>
  <c r="N970" i="1"/>
  <c r="M970" i="1"/>
  <c r="O969" i="1"/>
  <c r="O969" i="1" a="1"/>
  <c r="N969" i="1"/>
  <c r="M969" i="1"/>
  <c r="O968" i="1" a="1"/>
  <c r="O968" i="1" s="1"/>
  <c r="N968" i="1"/>
  <c r="M968" i="1"/>
  <c r="O967" i="1"/>
  <c r="O967" i="1" a="1"/>
  <c r="N967" i="1"/>
  <c r="M967" i="1"/>
  <c r="O966" i="1" a="1"/>
  <c r="O966" i="1" s="1"/>
  <c r="N966" i="1"/>
  <c r="M966" i="1"/>
  <c r="O965" i="1"/>
  <c r="O965" i="1" a="1"/>
  <c r="N965" i="1"/>
  <c r="M965" i="1"/>
  <c r="O964" i="1" a="1"/>
  <c r="O964" i="1" s="1"/>
  <c r="N964" i="1"/>
  <c r="M964" i="1"/>
  <c r="O963" i="1"/>
  <c r="O963" i="1" a="1"/>
  <c r="N963" i="1"/>
  <c r="M963" i="1"/>
  <c r="O962" i="1" a="1"/>
  <c r="O962" i="1" s="1"/>
  <c r="N962" i="1"/>
  <c r="M962" i="1"/>
  <c r="O961" i="1"/>
  <c r="O961" i="1" a="1"/>
  <c r="N961" i="1"/>
  <c r="M961" i="1"/>
  <c r="O960" i="1" a="1"/>
  <c r="O960" i="1" s="1"/>
  <c r="N960" i="1"/>
  <c r="M960" i="1"/>
  <c r="O959" i="1"/>
  <c r="O959" i="1" a="1"/>
  <c r="N959" i="1"/>
  <c r="M959" i="1"/>
  <c r="O958" i="1"/>
  <c r="O958" i="1" a="1"/>
  <c r="N958" i="1"/>
  <c r="M958" i="1"/>
  <c r="O957" i="1"/>
  <c r="O957" i="1" a="1"/>
  <c r="N957" i="1"/>
  <c r="M957" i="1"/>
  <c r="O956" i="1" a="1"/>
  <c r="O956" i="1" s="1"/>
  <c r="N956" i="1"/>
  <c r="M956" i="1"/>
  <c r="O955" i="1"/>
  <c r="O955" i="1" a="1"/>
  <c r="N955" i="1"/>
  <c r="M955" i="1"/>
  <c r="O954" i="1" a="1"/>
  <c r="O954" i="1" s="1"/>
  <c r="N954" i="1"/>
  <c r="M954" i="1"/>
  <c r="O953" i="1"/>
  <c r="O953" i="1" a="1"/>
  <c r="N953" i="1"/>
  <c r="M953" i="1"/>
  <c r="O952" i="1" a="1"/>
  <c r="O952" i="1" s="1"/>
  <c r="N952" i="1"/>
  <c r="M952" i="1"/>
  <c r="O951" i="1"/>
  <c r="O951" i="1" a="1"/>
  <c r="N951" i="1"/>
  <c r="M951" i="1"/>
  <c r="O950" i="1" a="1"/>
  <c r="O950" i="1" s="1"/>
  <c r="N950" i="1"/>
  <c r="M950" i="1"/>
  <c r="O949" i="1"/>
  <c r="O949" i="1" a="1"/>
  <c r="N949" i="1"/>
  <c r="M949" i="1"/>
  <c r="O948" i="1" a="1"/>
  <c r="O948" i="1" s="1"/>
  <c r="N948" i="1"/>
  <c r="M948" i="1"/>
  <c r="O947" i="1"/>
  <c r="O947" i="1" a="1"/>
  <c r="N947" i="1"/>
  <c r="M947" i="1"/>
  <c r="O946" i="1" a="1"/>
  <c r="O946" i="1" s="1"/>
  <c r="N946" i="1"/>
  <c r="M946" i="1"/>
  <c r="O945" i="1"/>
  <c r="O945" i="1" a="1"/>
  <c r="N945" i="1"/>
  <c r="M945" i="1"/>
  <c r="O944" i="1" a="1"/>
  <c r="O944" i="1" s="1"/>
  <c r="N944" i="1"/>
  <c r="M944" i="1"/>
  <c r="O943" i="1"/>
  <c r="O943" i="1" a="1"/>
  <c r="N943" i="1"/>
  <c r="M943" i="1"/>
  <c r="O942" i="1"/>
  <c r="O942" i="1" a="1"/>
  <c r="N942" i="1"/>
  <c r="M942" i="1"/>
  <c r="O941" i="1"/>
  <c r="O941" i="1" a="1"/>
  <c r="N941" i="1"/>
  <c r="M941" i="1"/>
  <c r="O940" i="1" a="1"/>
  <c r="O940" i="1" s="1"/>
  <c r="N940" i="1"/>
  <c r="M940" i="1"/>
  <c r="O939" i="1"/>
  <c r="O939" i="1" a="1"/>
  <c r="N939" i="1"/>
  <c r="M939" i="1"/>
  <c r="O938" i="1" a="1"/>
  <c r="O938" i="1" s="1"/>
  <c r="N938" i="1"/>
  <c r="M938" i="1"/>
  <c r="O937" i="1"/>
  <c r="O937" i="1" a="1"/>
  <c r="N937" i="1"/>
  <c r="M937" i="1"/>
  <c r="O936" i="1" a="1"/>
  <c r="O936" i="1" s="1"/>
  <c r="N936" i="1"/>
  <c r="M936" i="1"/>
  <c r="O935" i="1"/>
  <c r="O935" i="1" a="1"/>
  <c r="N935" i="1"/>
  <c r="M935" i="1"/>
  <c r="O934" i="1" a="1"/>
  <c r="O934" i="1" s="1"/>
  <c r="N934" i="1"/>
  <c r="M934" i="1"/>
  <c r="O933" i="1"/>
  <c r="O933" i="1" a="1"/>
  <c r="N933" i="1"/>
  <c r="M933" i="1"/>
  <c r="O932" i="1" a="1"/>
  <c r="O932" i="1" s="1"/>
  <c r="N932" i="1"/>
  <c r="M932" i="1"/>
  <c r="O931" i="1"/>
  <c r="O931" i="1" a="1"/>
  <c r="N931" i="1"/>
  <c r="M931" i="1"/>
  <c r="O930" i="1"/>
  <c r="O930" i="1" a="1"/>
  <c r="N930" i="1"/>
  <c r="M930" i="1"/>
  <c r="O929" i="1" a="1"/>
  <c r="O929" i="1" s="1"/>
  <c r="N929" i="1"/>
  <c r="M929" i="1"/>
  <c r="O928" i="1" a="1"/>
  <c r="O928" i="1" s="1"/>
  <c r="N928" i="1"/>
  <c r="M928" i="1"/>
  <c r="O927" i="1"/>
  <c r="O927" i="1" a="1"/>
  <c r="N927" i="1"/>
  <c r="M927" i="1"/>
  <c r="O926" i="1" a="1"/>
  <c r="O926" i="1" s="1"/>
  <c r="N926" i="1"/>
  <c r="M926" i="1"/>
  <c r="O925" i="1"/>
  <c r="O925" i="1" a="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c r="O919" i="1" a="1"/>
  <c r="N919" i="1"/>
  <c r="M919" i="1"/>
  <c r="O918" i="1" a="1"/>
  <c r="O918" i="1" s="1"/>
  <c r="N918" i="1"/>
  <c r="M918" i="1"/>
  <c r="O917" i="1" a="1"/>
  <c r="O917" i="1" s="1"/>
  <c r="N917" i="1"/>
  <c r="M917" i="1"/>
  <c r="O916" i="1" a="1"/>
  <c r="O916" i="1" s="1"/>
  <c r="N916" i="1"/>
  <c r="M916" i="1"/>
  <c r="O915" i="1"/>
  <c r="O915" i="1" a="1"/>
  <c r="N915" i="1"/>
  <c r="M915" i="1"/>
  <c r="O914" i="1"/>
  <c r="O914" i="1" a="1"/>
  <c r="N914" i="1"/>
  <c r="M914" i="1"/>
  <c r="O913" i="1" a="1"/>
  <c r="O913" i="1" s="1"/>
  <c r="N913" i="1"/>
  <c r="M913" i="1"/>
  <c r="O912" i="1" a="1"/>
  <c r="O912" i="1" s="1"/>
  <c r="N912" i="1"/>
  <c r="M912" i="1"/>
  <c r="O911" i="1"/>
  <c r="O911" i="1" a="1"/>
  <c r="N911" i="1"/>
  <c r="M911" i="1"/>
  <c r="O910" i="1"/>
  <c r="O910" i="1" a="1"/>
  <c r="N910" i="1"/>
  <c r="M910" i="1"/>
  <c r="O909" i="1" a="1"/>
  <c r="O909" i="1" s="1"/>
  <c r="N909" i="1"/>
  <c r="M909" i="1"/>
  <c r="O908" i="1" a="1"/>
  <c r="O908" i="1" s="1"/>
  <c r="N908" i="1"/>
  <c r="M908" i="1"/>
  <c r="O907" i="1"/>
  <c r="O907" i="1" a="1"/>
  <c r="N907" i="1"/>
  <c r="M907" i="1"/>
  <c r="O906" i="1" a="1"/>
  <c r="O906" i="1" s="1"/>
  <c r="N906" i="1"/>
  <c r="M906" i="1"/>
  <c r="O905" i="1" a="1"/>
  <c r="O905" i="1" s="1"/>
  <c r="N905" i="1"/>
  <c r="M905" i="1"/>
  <c r="O904" i="1" a="1"/>
  <c r="O904" i="1" s="1"/>
  <c r="N904" i="1"/>
  <c r="M904" i="1"/>
  <c r="O903" i="1"/>
  <c r="O903" i="1" a="1"/>
  <c r="N903" i="1"/>
  <c r="M903" i="1"/>
  <c r="O902" i="1" a="1"/>
  <c r="O902" i="1" s="1"/>
  <c r="N902" i="1"/>
  <c r="M902" i="1"/>
  <c r="O901" i="1" a="1"/>
  <c r="O901" i="1" s="1"/>
  <c r="N901" i="1"/>
  <c r="M901" i="1"/>
  <c r="O900" i="1" a="1"/>
  <c r="O900" i="1" s="1"/>
  <c r="N900" i="1"/>
  <c r="M900" i="1"/>
  <c r="O899" i="1"/>
  <c r="O899" i="1" a="1"/>
  <c r="N899" i="1"/>
  <c r="M899" i="1"/>
  <c r="O898" i="1" a="1"/>
  <c r="O898" i="1" s="1"/>
  <c r="N898" i="1"/>
  <c r="M898" i="1"/>
  <c r="O897" i="1"/>
  <c r="O897" i="1" a="1"/>
  <c r="N897" i="1"/>
  <c r="M897" i="1"/>
  <c r="O896" i="1" a="1"/>
  <c r="O896" i="1" s="1"/>
  <c r="N896" i="1"/>
  <c r="M896" i="1"/>
  <c r="O895" i="1"/>
  <c r="O895" i="1" a="1"/>
  <c r="N895" i="1"/>
  <c r="M895" i="1"/>
  <c r="O894" i="1"/>
  <c r="O894" i="1" a="1"/>
  <c r="N894" i="1"/>
  <c r="M894" i="1"/>
  <c r="O893" i="1" a="1"/>
  <c r="O893" i="1" s="1"/>
  <c r="N893" i="1"/>
  <c r="M893" i="1"/>
  <c r="O892" i="1" a="1"/>
  <c r="O892" i="1" s="1"/>
  <c r="N892" i="1"/>
  <c r="M892" i="1"/>
  <c r="O891" i="1"/>
  <c r="O891" i="1" a="1"/>
  <c r="N891" i="1"/>
  <c r="M891" i="1"/>
  <c r="O890" i="1" a="1"/>
  <c r="O890" i="1" s="1"/>
  <c r="N890" i="1"/>
  <c r="M890" i="1"/>
  <c r="O889" i="1" a="1"/>
  <c r="O889" i="1" s="1"/>
  <c r="N889" i="1"/>
  <c r="M889" i="1"/>
  <c r="O888" i="1" a="1"/>
  <c r="O888" i="1" s="1"/>
  <c r="N888" i="1"/>
  <c r="M888" i="1"/>
  <c r="O887" i="1"/>
  <c r="O887" i="1" a="1"/>
  <c r="N887" i="1"/>
  <c r="M887" i="1"/>
  <c r="O886" i="1" a="1"/>
  <c r="O886" i="1" s="1"/>
  <c r="N886" i="1"/>
  <c r="M886" i="1"/>
  <c r="O885" i="1" a="1"/>
  <c r="O885" i="1" s="1"/>
  <c r="N885" i="1"/>
  <c r="M885" i="1"/>
  <c r="O884" i="1" a="1"/>
  <c r="O884" i="1" s="1"/>
  <c r="N884" i="1"/>
  <c r="M884" i="1"/>
  <c r="O883" i="1"/>
  <c r="O883" i="1" a="1"/>
  <c r="N883" i="1"/>
  <c r="M883" i="1"/>
  <c r="O882" i="1" a="1"/>
  <c r="O882" i="1" s="1"/>
  <c r="N882" i="1"/>
  <c r="M882" i="1"/>
  <c r="O881" i="1" a="1"/>
  <c r="O881" i="1" s="1"/>
  <c r="N881" i="1"/>
  <c r="M881" i="1"/>
  <c r="O880" i="1" a="1"/>
  <c r="O880" i="1" s="1"/>
  <c r="N880" i="1"/>
  <c r="M880" i="1"/>
  <c r="O879" i="1"/>
  <c r="O879" i="1" a="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a="1"/>
  <c r="O868" i="1" s="1"/>
  <c r="N868" i="1"/>
  <c r="M868" i="1"/>
  <c r="O867" i="1"/>
  <c r="O867" i="1" a="1"/>
  <c r="N867" i="1"/>
  <c r="M867" i="1"/>
  <c r="O866" i="1" a="1"/>
  <c r="O866" i="1" s="1"/>
  <c r="N866" i="1"/>
  <c r="M866" i="1"/>
  <c r="O865" i="1" a="1"/>
  <c r="O865" i="1" s="1"/>
  <c r="N865" i="1"/>
  <c r="M865" i="1"/>
  <c r="O864" i="1" a="1"/>
  <c r="O864" i="1" s="1"/>
  <c r="N864" i="1"/>
  <c r="M864" i="1"/>
  <c r="O863" i="1"/>
  <c r="O863" i="1" a="1"/>
  <c r="N863" i="1"/>
  <c r="M863" i="1"/>
  <c r="O862" i="1" a="1"/>
  <c r="O862" i="1" s="1"/>
  <c r="N862" i="1"/>
  <c r="M862" i="1"/>
  <c r="O861" i="1"/>
  <c r="O861" i="1" a="1"/>
  <c r="N861" i="1"/>
  <c r="M861" i="1"/>
  <c r="O860" i="1" a="1"/>
  <c r="O860" i="1" s="1"/>
  <c r="N860" i="1"/>
  <c r="M860" i="1"/>
  <c r="O859" i="1"/>
  <c r="O859" i="1" a="1"/>
  <c r="N859" i="1"/>
  <c r="M859" i="1"/>
  <c r="O858" i="1" a="1"/>
  <c r="O858" i="1" s="1"/>
  <c r="N858" i="1"/>
  <c r="M858" i="1"/>
  <c r="O857" i="1" a="1"/>
  <c r="O857" i="1" s="1"/>
  <c r="N857" i="1"/>
  <c r="M857" i="1"/>
  <c r="O856" i="1" a="1"/>
  <c r="O856" i="1" s="1"/>
  <c r="N856" i="1"/>
  <c r="M856" i="1"/>
  <c r="O855" i="1"/>
  <c r="O855" i="1" a="1"/>
  <c r="N855" i="1"/>
  <c r="M855" i="1"/>
  <c r="O854" i="1" a="1"/>
  <c r="O854" i="1" s="1"/>
  <c r="N854" i="1"/>
  <c r="M854" i="1"/>
  <c r="O853" i="1" a="1"/>
  <c r="O853" i="1" s="1"/>
  <c r="N853" i="1"/>
  <c r="M853" i="1"/>
  <c r="O852" i="1" a="1"/>
  <c r="O852" i="1" s="1"/>
  <c r="N852" i="1"/>
  <c r="M852" i="1"/>
  <c r="O851" i="1"/>
  <c r="O851" i="1" a="1"/>
  <c r="N851" i="1"/>
  <c r="M851" i="1"/>
  <c r="O850" i="1"/>
  <c r="O850" i="1" a="1"/>
  <c r="N850" i="1"/>
  <c r="M850" i="1"/>
  <c r="O849" i="1" a="1"/>
  <c r="O849" i="1" s="1"/>
  <c r="N849" i="1"/>
  <c r="M849" i="1"/>
  <c r="O848" i="1" a="1"/>
  <c r="O848" i="1" s="1"/>
  <c r="N848" i="1"/>
  <c r="M848" i="1"/>
  <c r="O847" i="1"/>
  <c r="O847" i="1" a="1"/>
  <c r="N847" i="1"/>
  <c r="M847" i="1"/>
  <c r="O846" i="1" a="1"/>
  <c r="O846" i="1" s="1"/>
  <c r="N846" i="1"/>
  <c r="M846" i="1"/>
  <c r="O845" i="1" a="1"/>
  <c r="O845" i="1" s="1"/>
  <c r="N845" i="1"/>
  <c r="M845" i="1"/>
  <c r="O844" i="1" a="1"/>
  <c r="O844" i="1" s="1"/>
  <c r="N844" i="1"/>
  <c r="M844" i="1"/>
  <c r="O843" i="1"/>
  <c r="O843" i="1" a="1"/>
  <c r="N843" i="1"/>
  <c r="M843" i="1"/>
  <c r="O842" i="1" a="1"/>
  <c r="O842" i="1" s="1"/>
  <c r="N842" i="1"/>
  <c r="M842" i="1"/>
  <c r="O841" i="1" a="1"/>
  <c r="O841" i="1" s="1"/>
  <c r="N841" i="1"/>
  <c r="M841" i="1"/>
  <c r="O840" i="1" a="1"/>
  <c r="O840" i="1" s="1"/>
  <c r="N840" i="1"/>
  <c r="M840" i="1"/>
  <c r="O839" i="1"/>
  <c r="O839" i="1" a="1"/>
  <c r="N839" i="1"/>
  <c r="M839" i="1"/>
  <c r="O838" i="1"/>
  <c r="O838" i="1" a="1"/>
  <c r="N838" i="1"/>
  <c r="M838" i="1"/>
  <c r="O837" i="1" a="1"/>
  <c r="O837" i="1" s="1"/>
  <c r="N837" i="1"/>
  <c r="M837" i="1"/>
  <c r="O836" i="1" a="1"/>
  <c r="O836" i="1" s="1"/>
  <c r="N836" i="1"/>
  <c r="M836" i="1"/>
  <c r="O835" i="1"/>
  <c r="O835" i="1" a="1"/>
  <c r="N835" i="1"/>
  <c r="M835" i="1"/>
  <c r="O834" i="1" a="1"/>
  <c r="O834" i="1" s="1"/>
  <c r="N834" i="1"/>
  <c r="M834" i="1"/>
  <c r="O833" i="1"/>
  <c r="O833" i="1" a="1"/>
  <c r="N833" i="1"/>
  <c r="M833" i="1"/>
  <c r="O832" i="1" a="1"/>
  <c r="O832" i="1" s="1"/>
  <c r="N832" i="1"/>
  <c r="M832" i="1"/>
  <c r="O831" i="1"/>
  <c r="O831" i="1" a="1"/>
  <c r="N831" i="1"/>
  <c r="M831" i="1"/>
  <c r="O830" i="1"/>
  <c r="O830" i="1" a="1"/>
  <c r="N830" i="1"/>
  <c r="M830" i="1"/>
  <c r="O829" i="1" a="1"/>
  <c r="O829" i="1" s="1"/>
  <c r="N829" i="1"/>
  <c r="M829" i="1"/>
  <c r="O828" i="1" a="1"/>
  <c r="O828" i="1" s="1"/>
  <c r="N828" i="1"/>
  <c r="M828" i="1"/>
  <c r="O827" i="1"/>
  <c r="O827" i="1" a="1"/>
  <c r="N827" i="1"/>
  <c r="M827" i="1"/>
  <c r="O826" i="1" a="1"/>
  <c r="O826" i="1" s="1"/>
  <c r="N826" i="1"/>
  <c r="M826" i="1"/>
  <c r="O825" i="1"/>
  <c r="O825" i="1" a="1"/>
  <c r="N825" i="1"/>
  <c r="M825" i="1"/>
  <c r="O824" i="1" a="1"/>
  <c r="O824" i="1" s="1"/>
  <c r="N824" i="1"/>
  <c r="M824" i="1"/>
  <c r="O823" i="1"/>
  <c r="O823" i="1" a="1"/>
  <c r="N823" i="1"/>
  <c r="M823" i="1"/>
  <c r="O822" i="1" a="1"/>
  <c r="O822" i="1" s="1"/>
  <c r="N822" i="1"/>
  <c r="M822" i="1"/>
  <c r="O821" i="1" a="1"/>
  <c r="O821" i="1" s="1"/>
  <c r="N821" i="1"/>
  <c r="M821" i="1"/>
  <c r="O820" i="1" a="1"/>
  <c r="O820" i="1" s="1"/>
  <c r="N820" i="1"/>
  <c r="M820" i="1"/>
  <c r="O819" i="1"/>
  <c r="O819" i="1" a="1"/>
  <c r="N819" i="1"/>
  <c r="M819" i="1"/>
  <c r="O818" i="1" a="1"/>
  <c r="O818" i="1" s="1"/>
  <c r="N818" i="1"/>
  <c r="M818" i="1"/>
  <c r="O817" i="1" a="1"/>
  <c r="O817" i="1" s="1"/>
  <c r="N817" i="1"/>
  <c r="M817" i="1"/>
  <c r="O816" i="1" a="1"/>
  <c r="O816" i="1" s="1"/>
  <c r="N816" i="1"/>
  <c r="M816" i="1"/>
  <c r="O815" i="1"/>
  <c r="O815" i="1" a="1"/>
  <c r="N815" i="1"/>
  <c r="M815" i="1"/>
  <c r="O814" i="1"/>
  <c r="O814" i="1" a="1"/>
  <c r="N814" i="1"/>
  <c r="M814" i="1"/>
  <c r="O813" i="1" a="1"/>
  <c r="O813" i="1" s="1"/>
  <c r="N813" i="1"/>
  <c r="M813" i="1"/>
  <c r="O812" i="1" a="1"/>
  <c r="O812" i="1" s="1"/>
  <c r="N812" i="1"/>
  <c r="M812" i="1"/>
  <c r="O811" i="1"/>
  <c r="O811" i="1" a="1"/>
  <c r="N811" i="1"/>
  <c r="M811" i="1"/>
  <c r="O810" i="1" a="1"/>
  <c r="O810" i="1" s="1"/>
  <c r="N810" i="1"/>
  <c r="M810" i="1"/>
  <c r="O809" i="1" a="1"/>
  <c r="O809" i="1" s="1"/>
  <c r="N809" i="1"/>
  <c r="M809" i="1"/>
  <c r="O808" i="1" a="1"/>
  <c r="O808" i="1" s="1"/>
  <c r="N808" i="1"/>
  <c r="M808" i="1"/>
  <c r="O807" i="1"/>
  <c r="O807" i="1" a="1"/>
  <c r="N807" i="1"/>
  <c r="M807" i="1"/>
  <c r="O806" i="1" a="1"/>
  <c r="O806" i="1" s="1"/>
  <c r="N806" i="1"/>
  <c r="M806" i="1"/>
  <c r="O805" i="1" a="1"/>
  <c r="O805" i="1" s="1"/>
  <c r="N805" i="1"/>
  <c r="M805" i="1"/>
  <c r="O804" i="1" a="1"/>
  <c r="O804" i="1" s="1"/>
  <c r="N804" i="1"/>
  <c r="M804" i="1"/>
  <c r="O803" i="1"/>
  <c r="O803" i="1" a="1"/>
  <c r="N803" i="1"/>
  <c r="M803" i="1"/>
  <c r="O802" i="1" a="1"/>
  <c r="O802" i="1" s="1"/>
  <c r="N802" i="1"/>
  <c r="M802" i="1"/>
  <c r="O801" i="1" a="1"/>
  <c r="O801" i="1" s="1"/>
  <c r="N801" i="1"/>
  <c r="M801" i="1"/>
  <c r="O800" i="1" a="1"/>
  <c r="O800" i="1" s="1"/>
  <c r="N800" i="1"/>
  <c r="M800" i="1"/>
  <c r="O799" i="1"/>
  <c r="O799" i="1" a="1"/>
  <c r="N799" i="1"/>
  <c r="M799" i="1"/>
  <c r="O798" i="1" a="1"/>
  <c r="O798" i="1" s="1"/>
  <c r="N798" i="1"/>
  <c r="M798" i="1"/>
  <c r="O797" i="1"/>
  <c r="O797" i="1" a="1"/>
  <c r="N797" i="1"/>
  <c r="M797" i="1"/>
  <c r="O796" i="1" a="1"/>
  <c r="O796" i="1" s="1"/>
  <c r="N796" i="1"/>
  <c r="M796" i="1"/>
  <c r="O795" i="1"/>
  <c r="O795" i="1" a="1"/>
  <c r="N795" i="1"/>
  <c r="M795" i="1"/>
  <c r="O794" i="1" a="1"/>
  <c r="O794" i="1" s="1"/>
  <c r="N794" i="1"/>
  <c r="M794" i="1"/>
  <c r="O793" i="1" a="1"/>
  <c r="O793" i="1" s="1"/>
  <c r="N793" i="1"/>
  <c r="M793" i="1"/>
  <c r="O792" i="1" a="1"/>
  <c r="O792" i="1" s="1"/>
  <c r="N792" i="1"/>
  <c r="M792" i="1"/>
  <c r="O791" i="1"/>
  <c r="O791" i="1" a="1"/>
  <c r="N791" i="1"/>
  <c r="M791" i="1"/>
  <c r="O790" i="1" a="1"/>
  <c r="O790" i="1" s="1"/>
  <c r="N790" i="1"/>
  <c r="M790" i="1"/>
  <c r="O789" i="1"/>
  <c r="O789" i="1" a="1"/>
  <c r="N789" i="1"/>
  <c r="M789" i="1"/>
  <c r="O788" i="1" a="1"/>
  <c r="O788" i="1" s="1"/>
  <c r="N788" i="1"/>
  <c r="M788" i="1"/>
  <c r="O787" i="1"/>
  <c r="O787" i="1" a="1"/>
  <c r="N787" i="1"/>
  <c r="M787" i="1"/>
  <c r="O786" i="1"/>
  <c r="O786" i="1" a="1"/>
  <c r="N786" i="1"/>
  <c r="M786" i="1"/>
  <c r="O785" i="1" a="1"/>
  <c r="O785" i="1" s="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c r="O779" i="1" a="1"/>
  <c r="N779" i="1"/>
  <c r="M779" i="1"/>
  <c r="O778" i="1" a="1"/>
  <c r="O778" i="1" s="1"/>
  <c r="N778" i="1"/>
  <c r="M778" i="1"/>
  <c r="O777" i="1" a="1"/>
  <c r="O777" i="1" s="1"/>
  <c r="N777" i="1"/>
  <c r="M777" i="1"/>
  <c r="O776" i="1" a="1"/>
  <c r="O776" i="1" s="1"/>
  <c r="N776" i="1"/>
  <c r="M776" i="1"/>
  <c r="O775" i="1"/>
  <c r="O775" i="1" a="1"/>
  <c r="N775" i="1"/>
  <c r="M775" i="1"/>
  <c r="O774" i="1"/>
  <c r="O774" i="1" a="1"/>
  <c r="N774" i="1"/>
  <c r="M774" i="1"/>
  <c r="O773" i="1" a="1"/>
  <c r="O773" i="1" s="1"/>
  <c r="N773" i="1"/>
  <c r="M773" i="1"/>
  <c r="O772" i="1" a="1"/>
  <c r="O772" i="1" s="1"/>
  <c r="N772" i="1"/>
  <c r="M772" i="1"/>
  <c r="O771" i="1"/>
  <c r="O771" i="1" a="1"/>
  <c r="N771" i="1"/>
  <c r="M771" i="1"/>
  <c r="O770" i="1" a="1"/>
  <c r="O770" i="1" s="1"/>
  <c r="N770" i="1"/>
  <c r="M770" i="1"/>
  <c r="O769" i="1"/>
  <c r="O769" i="1" a="1"/>
  <c r="N769" i="1"/>
  <c r="M769" i="1"/>
  <c r="O768" i="1" a="1"/>
  <c r="O768" i="1" s="1"/>
  <c r="N768" i="1"/>
  <c r="M768" i="1"/>
  <c r="O767" i="1"/>
  <c r="O767" i="1" a="1"/>
  <c r="N767" i="1"/>
  <c r="M767" i="1"/>
  <c r="O766" i="1" a="1"/>
  <c r="O766" i="1" s="1"/>
  <c r="N766" i="1"/>
  <c r="M766" i="1"/>
  <c r="O765" i="1"/>
  <c r="O765" i="1" a="1"/>
  <c r="N765" i="1"/>
  <c r="M765" i="1"/>
  <c r="O764" i="1" a="1"/>
  <c r="O764" i="1" s="1"/>
  <c r="N764" i="1"/>
  <c r="M764" i="1"/>
  <c r="O763" i="1"/>
  <c r="O763" i="1" a="1"/>
  <c r="N763" i="1"/>
  <c r="M763" i="1"/>
  <c r="O762" i="1" a="1"/>
  <c r="O762" i="1" s="1"/>
  <c r="N762" i="1"/>
  <c r="M762" i="1"/>
  <c r="O761" i="1"/>
  <c r="O761" i="1" a="1"/>
  <c r="N761" i="1"/>
  <c r="M761" i="1"/>
  <c r="O760" i="1" a="1"/>
  <c r="O760" i="1" s="1"/>
  <c r="N760" i="1"/>
  <c r="M760" i="1"/>
  <c r="O759" i="1"/>
  <c r="O759" i="1" a="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a="1"/>
  <c r="O753" i="1" s="1"/>
  <c r="N753" i="1"/>
  <c r="M753" i="1"/>
  <c r="O752" i="1" a="1"/>
  <c r="O752" i="1" s="1"/>
  <c r="N752" i="1"/>
  <c r="M752" i="1"/>
  <c r="O751" i="1"/>
  <c r="O751" i="1" a="1"/>
  <c r="N751" i="1"/>
  <c r="M751" i="1"/>
  <c r="O750" i="1"/>
  <c r="O750" i="1" a="1"/>
  <c r="N750" i="1"/>
  <c r="M750" i="1"/>
  <c r="O749" i="1" a="1"/>
  <c r="O749" i="1" s="1"/>
  <c r="N749" i="1"/>
  <c r="M749" i="1"/>
  <c r="O748" i="1" a="1"/>
  <c r="O748" i="1" s="1"/>
  <c r="N748" i="1"/>
  <c r="M748" i="1"/>
  <c r="O747" i="1"/>
  <c r="O747" i="1" a="1"/>
  <c r="N747" i="1"/>
  <c r="M747" i="1"/>
  <c r="O746" i="1" a="1"/>
  <c r="O746" i="1" s="1"/>
  <c r="N746" i="1"/>
  <c r="M746" i="1"/>
  <c r="O745" i="1"/>
  <c r="O745" i="1" a="1"/>
  <c r="N745" i="1"/>
  <c r="M745" i="1"/>
  <c r="O744" i="1" a="1"/>
  <c r="O744" i="1" s="1"/>
  <c r="N744" i="1"/>
  <c r="M744" i="1"/>
  <c r="O743" i="1"/>
  <c r="O743" i="1" a="1"/>
  <c r="N743" i="1"/>
  <c r="M743" i="1"/>
  <c r="O742" i="1" a="1"/>
  <c r="O742" i="1" s="1"/>
  <c r="N742" i="1"/>
  <c r="M742" i="1"/>
  <c r="O741" i="1" a="1"/>
  <c r="O741" i="1" s="1"/>
  <c r="N741" i="1"/>
  <c r="M741" i="1"/>
  <c r="O740" i="1" a="1"/>
  <c r="O740" i="1" s="1"/>
  <c r="N740" i="1"/>
  <c r="M740" i="1"/>
  <c r="O739" i="1"/>
  <c r="O739" i="1" a="1"/>
  <c r="N739" i="1"/>
  <c r="M739" i="1"/>
  <c r="O738" i="1" a="1"/>
  <c r="O738" i="1" s="1"/>
  <c r="N738" i="1"/>
  <c r="M738" i="1"/>
  <c r="O737" i="1" a="1"/>
  <c r="O737" i="1" s="1"/>
  <c r="N737" i="1"/>
  <c r="M737" i="1"/>
  <c r="O736" i="1" a="1"/>
  <c r="O736" i="1" s="1"/>
  <c r="N736" i="1"/>
  <c r="M736" i="1"/>
  <c r="O735" i="1"/>
  <c r="O735" i="1" a="1"/>
  <c r="N735" i="1"/>
  <c r="M735" i="1"/>
  <c r="O734" i="1" a="1"/>
  <c r="O734" i="1" s="1"/>
  <c r="N734" i="1"/>
  <c r="M734" i="1"/>
  <c r="O733" i="1" a="1"/>
  <c r="O733" i="1" s="1"/>
  <c r="N733" i="1"/>
  <c r="M733" i="1"/>
  <c r="O732" i="1"/>
  <c r="O732" i="1" a="1"/>
  <c r="N732" i="1"/>
  <c r="M732" i="1"/>
  <c r="O731" i="1"/>
  <c r="O731" i="1" a="1"/>
  <c r="N731" i="1"/>
  <c r="M731" i="1"/>
  <c r="O730" i="1" a="1"/>
  <c r="O730" i="1" s="1"/>
  <c r="N730" i="1"/>
  <c r="M730" i="1"/>
  <c r="O729" i="1" a="1"/>
  <c r="O729" i="1" s="1"/>
  <c r="N729" i="1"/>
  <c r="M729" i="1"/>
  <c r="O728" i="1" a="1"/>
  <c r="O728" i="1" s="1"/>
  <c r="N728" i="1"/>
  <c r="M728" i="1"/>
  <c r="O727" i="1"/>
  <c r="O727" i="1" a="1"/>
  <c r="N727" i="1"/>
  <c r="M727" i="1"/>
  <c r="O726" i="1"/>
  <c r="O726" i="1" a="1"/>
  <c r="N726" i="1"/>
  <c r="M726" i="1"/>
  <c r="O725" i="1" a="1"/>
  <c r="O725" i="1" s="1"/>
  <c r="N725" i="1"/>
  <c r="M725" i="1"/>
  <c r="O724" i="1" a="1"/>
  <c r="O724" i="1" s="1"/>
  <c r="N724" i="1"/>
  <c r="M724" i="1"/>
  <c r="O723" i="1"/>
  <c r="O723" i="1" a="1"/>
  <c r="N723" i="1"/>
  <c r="M723" i="1"/>
  <c r="O722" i="1" a="1"/>
  <c r="O722" i="1" s="1"/>
  <c r="N722" i="1"/>
  <c r="M722" i="1"/>
  <c r="O721" i="1" a="1"/>
  <c r="O721" i="1" s="1"/>
  <c r="N721" i="1"/>
  <c r="M721" i="1"/>
  <c r="O720" i="1" a="1"/>
  <c r="O720" i="1" s="1"/>
  <c r="N720" i="1"/>
  <c r="M720" i="1"/>
  <c r="O719" i="1"/>
  <c r="O719" i="1" a="1"/>
  <c r="N719" i="1"/>
  <c r="M719" i="1"/>
  <c r="O718" i="1" a="1"/>
  <c r="O718" i="1" s="1"/>
  <c r="N718" i="1"/>
  <c r="M718" i="1"/>
  <c r="O717" i="1" a="1"/>
  <c r="O717" i="1" s="1"/>
  <c r="N717" i="1"/>
  <c r="M717" i="1"/>
  <c r="O716" i="1" a="1"/>
  <c r="O716" i="1" s="1"/>
  <c r="N716" i="1"/>
  <c r="M716" i="1"/>
  <c r="O715" i="1"/>
  <c r="O715" i="1" a="1"/>
  <c r="N715" i="1"/>
  <c r="M715" i="1"/>
  <c r="O714" i="1" a="1"/>
  <c r="O714" i="1" s="1"/>
  <c r="N714" i="1"/>
  <c r="M714" i="1"/>
  <c r="O713" i="1" a="1"/>
  <c r="O713" i="1" s="1"/>
  <c r="N713" i="1"/>
  <c r="M713" i="1"/>
  <c r="O712" i="1" a="1"/>
  <c r="O712" i="1" s="1"/>
  <c r="N712" i="1"/>
  <c r="M712" i="1"/>
  <c r="O711" i="1"/>
  <c r="O711" i="1" a="1"/>
  <c r="N711" i="1"/>
  <c r="M711" i="1"/>
  <c r="O710" i="1" a="1"/>
  <c r="O710" i="1" s="1"/>
  <c r="N710" i="1"/>
  <c r="M710" i="1"/>
  <c r="O709" i="1" a="1"/>
  <c r="O709" i="1" s="1"/>
  <c r="N709" i="1"/>
  <c r="M709" i="1"/>
  <c r="O708" i="1" a="1"/>
  <c r="O708" i="1" s="1"/>
  <c r="N708" i="1"/>
  <c r="M708" i="1"/>
  <c r="O707" i="1"/>
  <c r="O707" i="1" a="1"/>
  <c r="N707" i="1"/>
  <c r="M707" i="1"/>
  <c r="O706" i="1" a="1"/>
  <c r="O706" i="1" s="1"/>
  <c r="N706" i="1"/>
  <c r="M706" i="1"/>
  <c r="O705" i="1" a="1"/>
  <c r="O705" i="1" s="1"/>
  <c r="N705" i="1"/>
  <c r="M705" i="1"/>
  <c r="O704" i="1" a="1"/>
  <c r="O704" i="1" s="1"/>
  <c r="N704" i="1"/>
  <c r="M704" i="1"/>
  <c r="O703" i="1"/>
  <c r="O703" i="1" a="1"/>
  <c r="N703" i="1"/>
  <c r="M703" i="1"/>
  <c r="O702" i="1" a="1"/>
  <c r="O702" i="1" s="1"/>
  <c r="N702" i="1"/>
  <c r="M702" i="1"/>
  <c r="O701" i="1" a="1"/>
  <c r="O701" i="1" s="1"/>
  <c r="N701" i="1"/>
  <c r="M701" i="1"/>
  <c r="O700" i="1" a="1"/>
  <c r="O700" i="1" s="1"/>
  <c r="N700" i="1"/>
  <c r="M700" i="1"/>
  <c r="O699" i="1"/>
  <c r="O699" i="1" a="1"/>
  <c r="N699" i="1"/>
  <c r="M699" i="1"/>
  <c r="O698" i="1"/>
  <c r="O698" i="1" a="1"/>
  <c r="N698" i="1"/>
  <c r="M698" i="1"/>
  <c r="O697" i="1" a="1"/>
  <c r="O697" i="1" s="1"/>
  <c r="N697" i="1"/>
  <c r="M697" i="1"/>
  <c r="O696" i="1"/>
  <c r="O696" i="1" a="1"/>
  <c r="N696" i="1"/>
  <c r="M696" i="1"/>
  <c r="O695" i="1"/>
  <c r="O695" i="1" a="1"/>
  <c r="N695" i="1"/>
  <c r="M695" i="1"/>
  <c r="O694" i="1" a="1"/>
  <c r="O694" i="1" s="1"/>
  <c r="N694" i="1"/>
  <c r="M694" i="1"/>
  <c r="O693" i="1" a="1"/>
  <c r="O693" i="1" s="1"/>
  <c r="N693" i="1"/>
  <c r="M693" i="1"/>
  <c r="O692" i="1" a="1"/>
  <c r="O692" i="1" s="1"/>
  <c r="N692" i="1"/>
  <c r="M692" i="1"/>
  <c r="O691" i="1"/>
  <c r="O691" i="1" a="1"/>
  <c r="N691" i="1"/>
  <c r="M691" i="1"/>
  <c r="O690" i="1" a="1"/>
  <c r="O690" i="1" s="1"/>
  <c r="N690" i="1"/>
  <c r="M690" i="1"/>
  <c r="O689" i="1" a="1"/>
  <c r="O689" i="1" s="1"/>
  <c r="N689" i="1"/>
  <c r="M689" i="1"/>
  <c r="O688" i="1" a="1"/>
  <c r="O688" i="1" s="1"/>
  <c r="N688" i="1"/>
  <c r="M688" i="1"/>
  <c r="O687" i="1"/>
  <c r="O687" i="1" a="1"/>
  <c r="N687" i="1"/>
  <c r="M687" i="1"/>
  <c r="O686" i="1" a="1"/>
  <c r="O686" i="1" s="1"/>
  <c r="N686" i="1"/>
  <c r="M686" i="1"/>
  <c r="O685" i="1" a="1"/>
  <c r="O685" i="1" s="1"/>
  <c r="N685" i="1"/>
  <c r="M685" i="1"/>
  <c r="O684" i="1" a="1"/>
  <c r="O684" i="1" s="1"/>
  <c r="N684" i="1"/>
  <c r="M684" i="1"/>
  <c r="O683" i="1"/>
  <c r="O683" i="1" a="1"/>
  <c r="N683" i="1"/>
  <c r="M683" i="1"/>
  <c r="O682" i="1" a="1"/>
  <c r="O682" i="1" s="1"/>
  <c r="N682" i="1"/>
  <c r="M682" i="1"/>
  <c r="O681" i="1" a="1"/>
  <c r="O681" i="1" s="1"/>
  <c r="N681" i="1"/>
  <c r="M681" i="1"/>
  <c r="O680" i="1" a="1"/>
  <c r="O680" i="1" s="1"/>
  <c r="N680" i="1"/>
  <c r="M680" i="1"/>
  <c r="O679" i="1"/>
  <c r="O679" i="1" a="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c r="O667" i="1" a="1"/>
  <c r="N667" i="1"/>
  <c r="M667" i="1"/>
  <c r="O666" i="1" a="1"/>
  <c r="O666" i="1" s="1"/>
  <c r="N666" i="1"/>
  <c r="M666" i="1"/>
  <c r="O665" i="1" a="1"/>
  <c r="O665" i="1" s="1"/>
  <c r="N665" i="1"/>
  <c r="M665" i="1"/>
  <c r="O664" i="1" a="1"/>
  <c r="O664" i="1" s="1"/>
  <c r="N664" i="1"/>
  <c r="M664" i="1"/>
  <c r="O663" i="1"/>
  <c r="O663" i="1" a="1"/>
  <c r="N663" i="1"/>
  <c r="M663" i="1"/>
  <c r="O662" i="1"/>
  <c r="O662" i="1" a="1"/>
  <c r="N662" i="1"/>
  <c r="M662" i="1"/>
  <c r="O661" i="1" a="1"/>
  <c r="O661" i="1" s="1"/>
  <c r="N661" i="1"/>
  <c r="M661" i="1"/>
  <c r="O660" i="1" a="1"/>
  <c r="O660" i="1" s="1"/>
  <c r="N660" i="1"/>
  <c r="M660" i="1"/>
  <c r="O659" i="1"/>
  <c r="O659" i="1" a="1"/>
  <c r="N659" i="1"/>
  <c r="M659" i="1"/>
  <c r="O658" i="1" a="1"/>
  <c r="O658" i="1" s="1"/>
  <c r="N658" i="1"/>
  <c r="M658" i="1"/>
  <c r="O657" i="1" a="1"/>
  <c r="O657" i="1" s="1"/>
  <c r="N657" i="1"/>
  <c r="M657" i="1"/>
  <c r="O656" i="1" a="1"/>
  <c r="O656" i="1" s="1"/>
  <c r="N656" i="1"/>
  <c r="M656" i="1"/>
  <c r="O655" i="1"/>
  <c r="O655" i="1" a="1"/>
  <c r="N655" i="1"/>
  <c r="M655" i="1"/>
  <c r="O654" i="1" a="1"/>
  <c r="O654" i="1" s="1"/>
  <c r="N654" i="1"/>
  <c r="M654" i="1"/>
  <c r="O653" i="1" a="1"/>
  <c r="O653" i="1" s="1"/>
  <c r="N653" i="1"/>
  <c r="M653" i="1"/>
  <c r="O652" i="1" a="1"/>
  <c r="O652" i="1" s="1"/>
  <c r="N652" i="1"/>
  <c r="M652" i="1"/>
  <c r="O651" i="1"/>
  <c r="O651" i="1" a="1"/>
  <c r="N651" i="1"/>
  <c r="M651" i="1"/>
  <c r="O650" i="1" a="1"/>
  <c r="O650" i="1" s="1"/>
  <c r="N650" i="1"/>
  <c r="M650" i="1"/>
  <c r="O649" i="1" a="1"/>
  <c r="O649" i="1" s="1"/>
  <c r="N649" i="1"/>
  <c r="M649" i="1"/>
  <c r="O648" i="1" a="1"/>
  <c r="O648" i="1" s="1"/>
  <c r="N648" i="1"/>
  <c r="M648" i="1"/>
  <c r="O647" i="1"/>
  <c r="O647" i="1" a="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a="1"/>
  <c r="O640" i="1" s="1"/>
  <c r="N640" i="1"/>
  <c r="M640" i="1"/>
  <c r="O639" i="1"/>
  <c r="O639" i="1" a="1"/>
  <c r="N639" i="1"/>
  <c r="M639" i="1"/>
  <c r="O638" i="1" a="1"/>
  <c r="O638" i="1" s="1"/>
  <c r="N638" i="1"/>
  <c r="M638" i="1"/>
  <c r="O637" i="1" a="1"/>
  <c r="O637" i="1" s="1"/>
  <c r="N637" i="1"/>
  <c r="M637" i="1"/>
  <c r="O636" i="1" a="1"/>
  <c r="O636" i="1" s="1"/>
  <c r="N636" i="1"/>
  <c r="M636" i="1"/>
  <c r="O635" i="1"/>
  <c r="O635" i="1" a="1"/>
  <c r="N635" i="1"/>
  <c r="M635" i="1"/>
  <c r="O634" i="1"/>
  <c r="O634" i="1" a="1"/>
  <c r="N634" i="1"/>
  <c r="M634" i="1"/>
  <c r="O633" i="1" a="1"/>
  <c r="O633" i="1" s="1"/>
  <c r="N633" i="1"/>
  <c r="M633" i="1"/>
  <c r="O632" i="1"/>
  <c r="O632" i="1" a="1"/>
  <c r="N632" i="1"/>
  <c r="M632" i="1"/>
  <c r="O631" i="1"/>
  <c r="O631" i="1" a="1"/>
  <c r="N631" i="1"/>
  <c r="M631" i="1"/>
  <c r="O630" i="1" a="1"/>
  <c r="O630" i="1" s="1"/>
  <c r="N630" i="1"/>
  <c r="M630" i="1"/>
  <c r="O629" i="1" a="1"/>
  <c r="O629" i="1" s="1"/>
  <c r="N629" i="1"/>
  <c r="M629" i="1"/>
  <c r="O628" i="1" a="1"/>
  <c r="O628" i="1" s="1"/>
  <c r="N628" i="1"/>
  <c r="M628" i="1"/>
  <c r="O627" i="1"/>
  <c r="O627" i="1" a="1"/>
  <c r="N627" i="1"/>
  <c r="M627" i="1"/>
  <c r="O626" i="1" a="1"/>
  <c r="O626" i="1" s="1"/>
  <c r="N626" i="1"/>
  <c r="M626" i="1"/>
  <c r="O625" i="1" a="1"/>
  <c r="O625" i="1" s="1"/>
  <c r="N625" i="1"/>
  <c r="M625" i="1"/>
  <c r="O624" i="1" a="1"/>
  <c r="O624" i="1" s="1"/>
  <c r="N624" i="1"/>
  <c r="M624" i="1"/>
  <c r="O623" i="1"/>
  <c r="O623" i="1" a="1"/>
  <c r="N623" i="1"/>
  <c r="M623" i="1"/>
  <c r="O622" i="1" a="1"/>
  <c r="O622" i="1" s="1"/>
  <c r="N622" i="1"/>
  <c r="M622" i="1"/>
  <c r="O621" i="1" a="1"/>
  <c r="O621" i="1" s="1"/>
  <c r="N621" i="1"/>
  <c r="M621" i="1"/>
  <c r="O620" i="1" a="1"/>
  <c r="O620" i="1" s="1"/>
  <c r="N620" i="1"/>
  <c r="M620" i="1"/>
  <c r="O619" i="1"/>
  <c r="O619" i="1" a="1"/>
  <c r="N619" i="1"/>
  <c r="M619" i="1"/>
  <c r="O618" i="1" a="1"/>
  <c r="O618" i="1" s="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c r="O611" i="1" a="1"/>
  <c r="N611" i="1"/>
  <c r="M611" i="1"/>
  <c r="O610" i="1" a="1"/>
  <c r="O610" i="1" s="1"/>
  <c r="N610" i="1"/>
  <c r="M610" i="1"/>
  <c r="O609" i="1" a="1"/>
  <c r="O609" i="1" s="1"/>
  <c r="N609" i="1"/>
  <c r="M609" i="1"/>
  <c r="O608" i="1" a="1"/>
  <c r="O608" i="1" s="1"/>
  <c r="N608" i="1"/>
  <c r="M608" i="1"/>
  <c r="O607" i="1"/>
  <c r="O607" i="1" a="1"/>
  <c r="N607" i="1"/>
  <c r="M607" i="1"/>
  <c r="O606" i="1" a="1"/>
  <c r="O606" i="1" s="1"/>
  <c r="N606" i="1"/>
  <c r="M606" i="1"/>
  <c r="O605" i="1" a="1"/>
  <c r="O605" i="1" s="1"/>
  <c r="N605" i="1"/>
  <c r="M605" i="1"/>
  <c r="O604" i="1"/>
  <c r="O604" i="1" a="1"/>
  <c r="N604" i="1"/>
  <c r="M604" i="1"/>
  <c r="O603" i="1"/>
  <c r="O603" i="1" a="1"/>
  <c r="N603" i="1"/>
  <c r="M603" i="1"/>
  <c r="O602" i="1" a="1"/>
  <c r="O602" i="1" s="1"/>
  <c r="N602" i="1"/>
  <c r="M602" i="1"/>
  <c r="O601" i="1" a="1"/>
  <c r="O601" i="1" s="1"/>
  <c r="N601" i="1"/>
  <c r="M601" i="1"/>
  <c r="O600" i="1" a="1"/>
  <c r="O600" i="1" s="1"/>
  <c r="N600" i="1"/>
  <c r="M600" i="1"/>
  <c r="O599" i="1"/>
  <c r="O599" i="1" a="1"/>
  <c r="N599" i="1"/>
  <c r="M599" i="1"/>
  <c r="O598" i="1"/>
  <c r="O598" i="1" a="1"/>
  <c r="N598" i="1"/>
  <c r="M598" i="1"/>
  <c r="O597" i="1" a="1"/>
  <c r="O597" i="1" s="1"/>
  <c r="N597" i="1"/>
  <c r="M597" i="1"/>
  <c r="O596" i="1" a="1"/>
  <c r="O596" i="1" s="1"/>
  <c r="N596" i="1"/>
  <c r="M596" i="1"/>
  <c r="O595" i="1"/>
  <c r="O595" i="1" a="1"/>
  <c r="N595" i="1"/>
  <c r="M595" i="1"/>
  <c r="O594" i="1" a="1"/>
  <c r="O594" i="1" s="1"/>
  <c r="N594" i="1"/>
  <c r="M594" i="1"/>
  <c r="O593" i="1" a="1"/>
  <c r="O593" i="1" s="1"/>
  <c r="N593" i="1"/>
  <c r="M593" i="1"/>
  <c r="O592" i="1" a="1"/>
  <c r="O592" i="1" s="1"/>
  <c r="N592" i="1"/>
  <c r="M592" i="1"/>
  <c r="O591" i="1"/>
  <c r="O591" i="1" a="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c r="O583" i="1" a="1"/>
  <c r="N583" i="1"/>
  <c r="M583" i="1"/>
  <c r="O582" i="1" a="1"/>
  <c r="O582" i="1" s="1"/>
  <c r="N582" i="1"/>
  <c r="M582" i="1"/>
  <c r="O581" i="1" a="1"/>
  <c r="O581" i="1" s="1"/>
  <c r="N581" i="1"/>
  <c r="M581" i="1"/>
  <c r="O580" i="1" a="1"/>
  <c r="O580" i="1" s="1"/>
  <c r="N580" i="1"/>
  <c r="M580" i="1"/>
  <c r="O579" i="1"/>
  <c r="O579" i="1" a="1"/>
  <c r="N579" i="1"/>
  <c r="M579" i="1"/>
  <c r="O578" i="1" a="1"/>
  <c r="O578" i="1" s="1"/>
  <c r="N578" i="1"/>
  <c r="M578" i="1"/>
  <c r="O577" i="1" a="1"/>
  <c r="O577" i="1" s="1"/>
  <c r="N577" i="1"/>
  <c r="M577" i="1"/>
  <c r="O576" i="1" a="1"/>
  <c r="O576" i="1" s="1"/>
  <c r="N576" i="1"/>
  <c r="M576" i="1"/>
  <c r="O575" i="1"/>
  <c r="O575" i="1" a="1"/>
  <c r="N575" i="1"/>
  <c r="M575" i="1"/>
  <c r="O574" i="1" a="1"/>
  <c r="O574" i="1" s="1"/>
  <c r="N574" i="1"/>
  <c r="M574" i="1"/>
  <c r="O573" i="1" a="1"/>
  <c r="O573" i="1" s="1"/>
  <c r="N573" i="1"/>
  <c r="M573" i="1"/>
  <c r="O572" i="1" a="1"/>
  <c r="O572" i="1" s="1"/>
  <c r="N572" i="1"/>
  <c r="M572" i="1"/>
  <c r="O571" i="1"/>
  <c r="O571" i="1" a="1"/>
  <c r="N571" i="1"/>
  <c r="M571" i="1"/>
  <c r="O570" i="1"/>
  <c r="O570" i="1" a="1"/>
  <c r="N570" i="1"/>
  <c r="M570" i="1"/>
  <c r="O569" i="1" a="1"/>
  <c r="O569" i="1" s="1"/>
  <c r="N569" i="1"/>
  <c r="M569" i="1"/>
  <c r="O568" i="1"/>
  <c r="O568" i="1" a="1"/>
  <c r="N568" i="1"/>
  <c r="M568" i="1"/>
  <c r="O567" i="1"/>
  <c r="O567" i="1" a="1"/>
  <c r="N567" i="1"/>
  <c r="M567" i="1"/>
  <c r="O566" i="1" a="1"/>
  <c r="O566" i="1" s="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a="1"/>
  <c r="O560" i="1" s="1"/>
  <c r="N560" i="1"/>
  <c r="M560" i="1"/>
  <c r="O559" i="1"/>
  <c r="O559" i="1" a="1"/>
  <c r="N559" i="1"/>
  <c r="M559" i="1"/>
  <c r="O558" i="1" a="1"/>
  <c r="O558" i="1" s="1"/>
  <c r="N558" i="1"/>
  <c r="M558" i="1"/>
  <c r="O557" i="1" a="1"/>
  <c r="O557" i="1" s="1"/>
  <c r="N557" i="1"/>
  <c r="M557" i="1"/>
  <c r="O556" i="1" a="1"/>
  <c r="O556" i="1" s="1"/>
  <c r="N556" i="1"/>
  <c r="M556" i="1"/>
  <c r="O555" i="1"/>
  <c r="O555" i="1" a="1"/>
  <c r="N555" i="1"/>
  <c r="M555" i="1"/>
  <c r="O554" i="1" a="1"/>
  <c r="O554" i="1" s="1"/>
  <c r="N554" i="1"/>
  <c r="M554" i="1"/>
  <c r="O553" i="1" a="1"/>
  <c r="O553" i="1" s="1"/>
  <c r="N553" i="1"/>
  <c r="M553" i="1"/>
  <c r="O552" i="1" a="1"/>
  <c r="O552" i="1" s="1"/>
  <c r="N552" i="1"/>
  <c r="M552" i="1"/>
  <c r="O551" i="1"/>
  <c r="O551" i="1" a="1"/>
  <c r="N551" i="1"/>
  <c r="M551" i="1"/>
  <c r="O550" i="1" a="1"/>
  <c r="O550" i="1" s="1"/>
  <c r="N550" i="1"/>
  <c r="M550" i="1"/>
  <c r="O549" i="1" a="1"/>
  <c r="O549" i="1" s="1"/>
  <c r="N549" i="1"/>
  <c r="M549" i="1"/>
  <c r="O548" i="1" a="1"/>
  <c r="O548" i="1" s="1"/>
  <c r="N548" i="1"/>
  <c r="M548" i="1"/>
  <c r="O547" i="1"/>
  <c r="O547" i="1" a="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c r="O540" i="1" a="1"/>
  <c r="N540" i="1"/>
  <c r="M540" i="1"/>
  <c r="O539" i="1"/>
  <c r="O539" i="1" a="1"/>
  <c r="N539" i="1"/>
  <c r="M539" i="1"/>
  <c r="O538" i="1" a="1"/>
  <c r="O538" i="1" s="1"/>
  <c r="N538" i="1"/>
  <c r="M538" i="1"/>
  <c r="O537" i="1" a="1"/>
  <c r="O537" i="1" s="1"/>
  <c r="N537" i="1"/>
  <c r="M537" i="1"/>
  <c r="O536" i="1" a="1"/>
  <c r="O536" i="1" s="1"/>
  <c r="N536" i="1"/>
  <c r="M536" i="1"/>
  <c r="O535" i="1"/>
  <c r="O535" i="1" a="1"/>
  <c r="N535" i="1"/>
  <c r="M535" i="1"/>
  <c r="O534" i="1"/>
  <c r="O534" i="1" a="1"/>
  <c r="N534" i="1"/>
  <c r="M534" i="1"/>
  <c r="O533" i="1" a="1"/>
  <c r="O533" i="1" s="1"/>
  <c r="N533" i="1"/>
  <c r="M533" i="1"/>
  <c r="O532" i="1" a="1"/>
  <c r="O532" i="1" s="1"/>
  <c r="N532" i="1"/>
  <c r="M532" i="1"/>
  <c r="O531" i="1"/>
  <c r="O531" i="1" a="1"/>
  <c r="N531" i="1"/>
  <c r="M531" i="1"/>
  <c r="O530" i="1" a="1"/>
  <c r="O530" i="1" s="1"/>
  <c r="N530" i="1"/>
  <c r="M530" i="1"/>
  <c r="O529" i="1" a="1"/>
  <c r="O529" i="1" s="1"/>
  <c r="N529" i="1"/>
  <c r="M529" i="1"/>
  <c r="O528" i="1" a="1"/>
  <c r="O528" i="1" s="1"/>
  <c r="N528" i="1"/>
  <c r="M528" i="1"/>
  <c r="O527" i="1"/>
  <c r="O527" i="1" a="1"/>
  <c r="N527" i="1"/>
  <c r="M527" i="1"/>
  <c r="O526" i="1" a="1"/>
  <c r="O526" i="1" s="1"/>
  <c r="N526" i="1"/>
  <c r="M526" i="1"/>
  <c r="O525" i="1" a="1"/>
  <c r="O525" i="1" s="1"/>
  <c r="N525" i="1"/>
  <c r="M525" i="1"/>
  <c r="O524" i="1" a="1"/>
  <c r="O524" i="1" s="1"/>
  <c r="N524" i="1"/>
  <c r="M524" i="1"/>
  <c r="O523" i="1"/>
  <c r="O523" i="1" a="1"/>
  <c r="N523" i="1"/>
  <c r="M523" i="1"/>
  <c r="O522" i="1" a="1"/>
  <c r="O522" i="1" s="1"/>
  <c r="N522" i="1"/>
  <c r="M522" i="1"/>
  <c r="O521" i="1" a="1"/>
  <c r="O521" i="1" s="1"/>
  <c r="N521" i="1"/>
  <c r="M521" i="1"/>
  <c r="O520" i="1" a="1"/>
  <c r="O520" i="1" s="1"/>
  <c r="N520" i="1"/>
  <c r="M520" i="1"/>
  <c r="O519" i="1"/>
  <c r="O519" i="1" a="1"/>
  <c r="N519" i="1"/>
  <c r="M519" i="1"/>
  <c r="O518" i="1" a="1"/>
  <c r="O518" i="1" s="1"/>
  <c r="N518" i="1"/>
  <c r="M518" i="1"/>
  <c r="O517" i="1" a="1"/>
  <c r="O517" i="1" s="1"/>
  <c r="N517" i="1"/>
  <c r="M517" i="1"/>
  <c r="O516" i="1" a="1"/>
  <c r="O516" i="1" s="1"/>
  <c r="N516" i="1"/>
  <c r="M516" i="1"/>
  <c r="O515" i="1"/>
  <c r="O515" i="1" a="1"/>
  <c r="N515" i="1"/>
  <c r="M515" i="1"/>
  <c r="O514" i="1" a="1"/>
  <c r="O514" i="1" s="1"/>
  <c r="N514" i="1"/>
  <c r="M514" i="1"/>
  <c r="O513" i="1" a="1"/>
  <c r="O513" i="1" s="1"/>
  <c r="N513" i="1"/>
  <c r="M513" i="1"/>
  <c r="O512" i="1" a="1"/>
  <c r="O512" i="1" s="1"/>
  <c r="N512" i="1"/>
  <c r="M512" i="1"/>
  <c r="O511" i="1"/>
  <c r="O511" i="1" a="1"/>
  <c r="N511" i="1"/>
  <c r="M511" i="1"/>
  <c r="O510" i="1" a="1"/>
  <c r="O510" i="1" s="1"/>
  <c r="N510" i="1"/>
  <c r="M510" i="1"/>
  <c r="O509" i="1" a="1"/>
  <c r="O509" i="1" s="1"/>
  <c r="N509" i="1"/>
  <c r="M509" i="1"/>
  <c r="O508" i="1" a="1"/>
  <c r="O508" i="1" s="1"/>
  <c r="N508" i="1"/>
  <c r="M508" i="1"/>
  <c r="O507" i="1"/>
  <c r="O507" i="1" a="1"/>
  <c r="N507" i="1"/>
  <c r="M507" i="1"/>
  <c r="O506" i="1"/>
  <c r="O506" i="1" a="1"/>
  <c r="N506" i="1"/>
  <c r="M506" i="1"/>
  <c r="O505" i="1" a="1"/>
  <c r="O505" i="1" s="1"/>
  <c r="N505" i="1"/>
  <c r="M505" i="1"/>
  <c r="O504" i="1"/>
  <c r="O504" i="1" a="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a="1"/>
  <c r="O497" i="1" s="1"/>
  <c r="N497" i="1"/>
  <c r="M497" i="1"/>
  <c r="O496" i="1" a="1"/>
  <c r="O496" i="1" s="1"/>
  <c r="N496" i="1"/>
  <c r="M496" i="1"/>
  <c r="O495" i="1"/>
  <c r="O495" i="1" a="1"/>
  <c r="N495" i="1"/>
  <c r="M495" i="1"/>
  <c r="O494" i="1" a="1"/>
  <c r="O494" i="1" s="1"/>
  <c r="N494" i="1"/>
  <c r="M494" i="1"/>
  <c r="O493" i="1" a="1"/>
  <c r="O493" i="1" s="1"/>
  <c r="N493" i="1"/>
  <c r="M493" i="1"/>
  <c r="O492" i="1" a="1"/>
  <c r="O492" i="1" s="1"/>
  <c r="N492" i="1"/>
  <c r="M492" i="1"/>
  <c r="O491" i="1"/>
  <c r="O491" i="1" a="1"/>
  <c r="N491" i="1"/>
  <c r="M491" i="1"/>
  <c r="O490" i="1" a="1"/>
  <c r="O490" i="1" s="1"/>
  <c r="N490" i="1"/>
  <c r="M490" i="1"/>
  <c r="O489" i="1" a="1"/>
  <c r="O489" i="1" s="1"/>
  <c r="N489" i="1"/>
  <c r="M489" i="1"/>
  <c r="O488" i="1" a="1"/>
  <c r="O488" i="1" s="1"/>
  <c r="N488" i="1"/>
  <c r="M488" i="1"/>
  <c r="O487" i="1"/>
  <c r="O487" i="1" a="1"/>
  <c r="N487" i="1"/>
  <c r="M487" i="1"/>
  <c r="O486" i="1" a="1"/>
  <c r="O486" i="1" s="1"/>
  <c r="N486" i="1"/>
  <c r="M486" i="1"/>
  <c r="O485" i="1" a="1"/>
  <c r="O485" i="1" s="1"/>
  <c r="N485" i="1"/>
  <c r="M485" i="1"/>
  <c r="O484" i="1" a="1"/>
  <c r="O484" i="1" s="1"/>
  <c r="N484" i="1"/>
  <c r="M484" i="1"/>
  <c r="O483" i="1"/>
  <c r="O483" i="1" a="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a="1"/>
  <c r="O472" i="1" s="1"/>
  <c r="N472" i="1"/>
  <c r="M472" i="1"/>
  <c r="O471" i="1"/>
  <c r="O471" i="1" a="1"/>
  <c r="N471" i="1"/>
  <c r="M471" i="1"/>
  <c r="O470" i="1"/>
  <c r="O470" i="1" a="1"/>
  <c r="N470" i="1"/>
  <c r="M470" i="1"/>
  <c r="O469" i="1" a="1"/>
  <c r="O469" i="1" s="1"/>
  <c r="N469" i="1"/>
  <c r="M469" i="1"/>
  <c r="O468" i="1" a="1"/>
  <c r="O468" i="1" s="1"/>
  <c r="N468" i="1"/>
  <c r="M468" i="1"/>
  <c r="O467" i="1"/>
  <c r="O467" i="1" a="1"/>
  <c r="N467" i="1"/>
  <c r="M467" i="1"/>
  <c r="O466" i="1" a="1"/>
  <c r="O466" i="1" s="1"/>
  <c r="N466" i="1"/>
  <c r="M466" i="1"/>
  <c r="O465" i="1" a="1"/>
  <c r="O465" i="1" s="1"/>
  <c r="N465" i="1"/>
  <c r="M465" i="1"/>
  <c r="O464" i="1" a="1"/>
  <c r="O464" i="1" s="1"/>
  <c r="N464" i="1"/>
  <c r="M464" i="1"/>
  <c r="O463" i="1"/>
  <c r="O463" i="1" a="1"/>
  <c r="N463" i="1"/>
  <c r="M463" i="1"/>
  <c r="O462" i="1" a="1"/>
  <c r="O462" i="1" s="1"/>
  <c r="N462" i="1"/>
  <c r="M462" i="1"/>
  <c r="O461" i="1" a="1"/>
  <c r="O461" i="1" s="1"/>
  <c r="N461" i="1"/>
  <c r="M461" i="1"/>
  <c r="O460" i="1" a="1"/>
  <c r="O460" i="1" s="1"/>
  <c r="N460" i="1"/>
  <c r="M460" i="1"/>
  <c r="O459" i="1"/>
  <c r="O459" i="1" a="1"/>
  <c r="N459" i="1"/>
  <c r="M459" i="1"/>
  <c r="O458" i="1" a="1"/>
  <c r="O458" i="1" s="1"/>
  <c r="N458" i="1"/>
  <c r="M458" i="1"/>
  <c r="O457" i="1" a="1"/>
  <c r="O457" i="1" s="1"/>
  <c r="N457" i="1"/>
  <c r="M457" i="1"/>
  <c r="O456" i="1" a="1"/>
  <c r="O456" i="1" s="1"/>
  <c r="N456" i="1"/>
  <c r="M456" i="1"/>
  <c r="O455" i="1"/>
  <c r="O455" i="1" a="1"/>
  <c r="N455" i="1"/>
  <c r="M455" i="1"/>
  <c r="O454" i="1" a="1"/>
  <c r="O454" i="1" s="1"/>
  <c r="N454" i="1"/>
  <c r="M454" i="1"/>
  <c r="O453" i="1" a="1"/>
  <c r="O453" i="1" s="1"/>
  <c r="N453" i="1"/>
  <c r="M453" i="1"/>
  <c r="O452" i="1" a="1"/>
  <c r="O452" i="1" s="1"/>
  <c r="N452" i="1"/>
  <c r="M452" i="1"/>
  <c r="O451" i="1"/>
  <c r="O451" i="1" a="1"/>
  <c r="N451" i="1"/>
  <c r="M451" i="1"/>
  <c r="O450" i="1" a="1"/>
  <c r="O450" i="1" s="1"/>
  <c r="N450" i="1"/>
  <c r="M450" i="1"/>
  <c r="O449" i="1" a="1"/>
  <c r="O449" i="1" s="1"/>
  <c r="N449" i="1"/>
  <c r="M449" i="1"/>
  <c r="O448" i="1" a="1"/>
  <c r="O448" i="1" s="1"/>
  <c r="N448" i="1"/>
  <c r="M448" i="1"/>
  <c r="O447" i="1"/>
  <c r="O447" i="1" a="1"/>
  <c r="N447" i="1"/>
  <c r="M447" i="1"/>
  <c r="O446" i="1" a="1"/>
  <c r="O446" i="1" s="1"/>
  <c r="N446" i="1"/>
  <c r="M446" i="1"/>
  <c r="O445" i="1" a="1"/>
  <c r="O445" i="1" s="1"/>
  <c r="N445" i="1"/>
  <c r="M445" i="1"/>
  <c r="O444" i="1" a="1"/>
  <c r="O444" i="1" s="1"/>
  <c r="N444" i="1"/>
  <c r="M444" i="1"/>
  <c r="O443" i="1"/>
  <c r="O443" i="1" a="1"/>
  <c r="N443" i="1"/>
  <c r="M443" i="1"/>
  <c r="O442" i="1"/>
  <c r="O442" i="1" a="1"/>
  <c r="N442" i="1"/>
  <c r="M442" i="1"/>
  <c r="O441" i="1" a="1"/>
  <c r="O441" i="1" s="1"/>
  <c r="N441" i="1"/>
  <c r="M441" i="1"/>
  <c r="O440" i="1"/>
  <c r="O440" i="1" a="1"/>
  <c r="N440" i="1"/>
  <c r="M440" i="1"/>
  <c r="O439" i="1"/>
  <c r="O439" i="1" a="1"/>
  <c r="N439" i="1"/>
  <c r="M439" i="1"/>
  <c r="O438" i="1" a="1"/>
  <c r="O438" i="1" s="1"/>
  <c r="N438" i="1"/>
  <c r="M438" i="1"/>
  <c r="O437" i="1" a="1"/>
  <c r="O437" i="1" s="1"/>
  <c r="N437" i="1"/>
  <c r="M437" i="1"/>
  <c r="O436" i="1" a="1"/>
  <c r="O436" i="1" s="1"/>
  <c r="N436" i="1"/>
  <c r="M436" i="1"/>
  <c r="O435" i="1"/>
  <c r="O435" i="1" a="1"/>
  <c r="N435" i="1"/>
  <c r="M435" i="1"/>
  <c r="O434" i="1" a="1"/>
  <c r="O434" i="1" s="1"/>
  <c r="N434" i="1"/>
  <c r="M434" i="1"/>
  <c r="O433" i="1" a="1"/>
  <c r="O433" i="1" s="1"/>
  <c r="N433" i="1"/>
  <c r="M433" i="1"/>
  <c r="O432" i="1" a="1"/>
  <c r="O432" i="1" s="1"/>
  <c r="N432" i="1"/>
  <c r="M432" i="1"/>
  <c r="O431" i="1"/>
  <c r="O431" i="1" a="1"/>
  <c r="N431" i="1"/>
  <c r="M431" i="1"/>
  <c r="O430" i="1" a="1"/>
  <c r="O430" i="1" s="1"/>
  <c r="N430" i="1"/>
  <c r="M430" i="1"/>
  <c r="O429" i="1" a="1"/>
  <c r="O429" i="1" s="1"/>
  <c r="N429" i="1"/>
  <c r="M429" i="1"/>
  <c r="O428" i="1" a="1"/>
  <c r="O428" i="1" s="1"/>
  <c r="N428" i="1"/>
  <c r="M428" i="1"/>
  <c r="O427" i="1"/>
  <c r="O427" i="1" a="1"/>
  <c r="N427" i="1"/>
  <c r="M427" i="1"/>
  <c r="O426" i="1" a="1"/>
  <c r="O426" i="1" s="1"/>
  <c r="N426" i="1"/>
  <c r="M426" i="1"/>
  <c r="O425" i="1" a="1"/>
  <c r="O425" i="1" s="1"/>
  <c r="N425" i="1"/>
  <c r="M425" i="1"/>
  <c r="O424" i="1" a="1"/>
  <c r="O424" i="1" s="1"/>
  <c r="N424" i="1"/>
  <c r="M424" i="1"/>
  <c r="O423" i="1"/>
  <c r="O423" i="1" a="1"/>
  <c r="N423" i="1"/>
  <c r="M423" i="1"/>
  <c r="O422" i="1" a="1"/>
  <c r="O422" i="1" s="1"/>
  <c r="N422" i="1"/>
  <c r="M422" i="1"/>
  <c r="O421" i="1" a="1"/>
  <c r="O421" i="1" s="1"/>
  <c r="N421" i="1"/>
  <c r="M421" i="1"/>
  <c r="O420" i="1" a="1"/>
  <c r="O420" i="1" s="1"/>
  <c r="N420" i="1"/>
  <c r="M420" i="1"/>
  <c r="O419" i="1"/>
  <c r="O419" i="1" a="1"/>
  <c r="N419" i="1"/>
  <c r="M419" i="1"/>
  <c r="O418" i="1" a="1"/>
  <c r="O418" i="1" s="1"/>
  <c r="N418" i="1"/>
  <c r="M418" i="1"/>
  <c r="O417" i="1" a="1"/>
  <c r="O417" i="1" s="1"/>
  <c r="N417" i="1"/>
  <c r="M417" i="1"/>
  <c r="O416" i="1" a="1"/>
  <c r="O416" i="1" s="1"/>
  <c r="N416" i="1"/>
  <c r="M416" i="1"/>
  <c r="O415" i="1"/>
  <c r="O415" i="1" a="1"/>
  <c r="N415" i="1"/>
  <c r="M415" i="1"/>
  <c r="O414" i="1" a="1"/>
  <c r="O414" i="1" s="1"/>
  <c r="N414" i="1"/>
  <c r="M414" i="1"/>
  <c r="O413" i="1" a="1"/>
  <c r="O413" i="1" s="1"/>
  <c r="N413" i="1"/>
  <c r="M413" i="1"/>
  <c r="O412" i="1"/>
  <c r="O412" i="1" a="1"/>
  <c r="N412" i="1"/>
  <c r="M412" i="1"/>
  <c r="O411" i="1"/>
  <c r="O411" i="1" a="1"/>
  <c r="N411" i="1"/>
  <c r="M411" i="1"/>
  <c r="O410" i="1" a="1"/>
  <c r="O410" i="1" s="1"/>
  <c r="N410" i="1"/>
  <c r="M410" i="1"/>
  <c r="O409" i="1" a="1"/>
  <c r="O409" i="1" s="1"/>
  <c r="N409" i="1"/>
  <c r="M409" i="1"/>
  <c r="O408" i="1" a="1"/>
  <c r="O408" i="1" s="1"/>
  <c r="N408" i="1"/>
  <c r="M408" i="1"/>
  <c r="O407" i="1"/>
  <c r="O407" i="1" a="1"/>
  <c r="N407" i="1"/>
  <c r="M407" i="1"/>
  <c r="O406" i="1"/>
  <c r="O406" i="1" a="1"/>
  <c r="N406" i="1"/>
  <c r="M406" i="1"/>
  <c r="O405" i="1" a="1"/>
  <c r="O405" i="1" s="1"/>
  <c r="N405" i="1"/>
  <c r="M405" i="1"/>
  <c r="O404" i="1" a="1"/>
  <c r="O404" i="1" s="1"/>
  <c r="N404" i="1"/>
  <c r="M404" i="1"/>
  <c r="O403" i="1"/>
  <c r="O403" i="1" a="1"/>
  <c r="N403" i="1"/>
  <c r="M403" i="1"/>
  <c r="O402" i="1" a="1"/>
  <c r="O402" i="1" s="1"/>
  <c r="N402" i="1"/>
  <c r="M402" i="1"/>
  <c r="O401" i="1" a="1"/>
  <c r="O401" i="1" s="1"/>
  <c r="N401" i="1"/>
  <c r="M401" i="1"/>
  <c r="O400" i="1" a="1"/>
  <c r="O400" i="1" s="1"/>
  <c r="N400" i="1"/>
  <c r="M400" i="1"/>
  <c r="O399" i="1"/>
  <c r="O399" i="1" a="1"/>
  <c r="N399" i="1"/>
  <c r="M399" i="1"/>
  <c r="O398" i="1" a="1"/>
  <c r="O398" i="1" s="1"/>
  <c r="N398" i="1"/>
  <c r="M398" i="1"/>
  <c r="O397" i="1" a="1"/>
  <c r="O397" i="1" s="1"/>
  <c r="N397" i="1"/>
  <c r="M397" i="1"/>
  <c r="O396" i="1" a="1"/>
  <c r="O396" i="1" s="1"/>
  <c r="N396" i="1"/>
  <c r="M396" i="1"/>
  <c r="O395" i="1"/>
  <c r="O395" i="1" a="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c r="O387" i="1" a="1"/>
  <c r="N387" i="1"/>
  <c r="M387" i="1"/>
  <c r="O386" i="1" a="1"/>
  <c r="O386" i="1" s="1"/>
  <c r="N386" i="1"/>
  <c r="M386" i="1"/>
  <c r="O385" i="1" a="1"/>
  <c r="O385" i="1" s="1"/>
  <c r="N385" i="1"/>
  <c r="M385" i="1"/>
  <c r="O384" i="1" a="1"/>
  <c r="O384" i="1" s="1"/>
  <c r="N384" i="1"/>
  <c r="M384" i="1"/>
  <c r="O383" i="1"/>
  <c r="O383" i="1" a="1"/>
  <c r="N383" i="1"/>
  <c r="M383" i="1"/>
  <c r="O382" i="1" a="1"/>
  <c r="O382" i="1" s="1"/>
  <c r="N382" i="1"/>
  <c r="M382" i="1"/>
  <c r="O381" i="1" a="1"/>
  <c r="O381" i="1" s="1"/>
  <c r="N381" i="1"/>
  <c r="M381" i="1"/>
  <c r="O380" i="1" a="1"/>
  <c r="O380" i="1" s="1"/>
  <c r="N380" i="1"/>
  <c r="M380" i="1"/>
  <c r="O379" i="1"/>
  <c r="O379" i="1" a="1"/>
  <c r="N379" i="1"/>
  <c r="M379" i="1"/>
  <c r="O378" i="1"/>
  <c r="O378" i="1" a="1"/>
  <c r="N378" i="1"/>
  <c r="M378" i="1"/>
  <c r="O377" i="1" a="1"/>
  <c r="O377" i="1" s="1"/>
  <c r="N377" i="1"/>
  <c r="M377" i="1"/>
  <c r="O376" i="1"/>
  <c r="O376" i="1" a="1"/>
  <c r="N376" i="1"/>
  <c r="M376" i="1"/>
  <c r="O375" i="1"/>
  <c r="O375" i="1" a="1"/>
  <c r="N375" i="1"/>
  <c r="M375" i="1"/>
  <c r="O374" i="1" a="1"/>
  <c r="O374" i="1" s="1"/>
  <c r="N374" i="1"/>
  <c r="M374" i="1"/>
  <c r="O373" i="1" a="1"/>
  <c r="O373" i="1" s="1"/>
  <c r="N373" i="1"/>
  <c r="M373" i="1"/>
  <c r="O372" i="1" a="1"/>
  <c r="O372" i="1" s="1"/>
  <c r="N372" i="1"/>
  <c r="M372" i="1"/>
  <c r="O371" i="1"/>
  <c r="O371" i="1" a="1"/>
  <c r="N371" i="1"/>
  <c r="M371" i="1"/>
  <c r="O370" i="1" a="1"/>
  <c r="O370" i="1" s="1"/>
  <c r="N370" i="1"/>
  <c r="M370" i="1"/>
  <c r="O369" i="1" a="1"/>
  <c r="O369" i="1" s="1"/>
  <c r="N369" i="1"/>
  <c r="M369" i="1"/>
  <c r="O368" i="1" a="1"/>
  <c r="O368" i="1" s="1"/>
  <c r="N368" i="1"/>
  <c r="M368" i="1"/>
  <c r="O367" i="1"/>
  <c r="O367" i="1" a="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c r="O359" i="1" a="1"/>
  <c r="N359" i="1"/>
  <c r="M359" i="1"/>
  <c r="O358" i="1" a="1"/>
  <c r="O358" i="1" s="1"/>
  <c r="N358" i="1"/>
  <c r="M358" i="1"/>
  <c r="O357" i="1" a="1"/>
  <c r="O357" i="1" s="1"/>
  <c r="N357" i="1"/>
  <c r="M357" i="1"/>
  <c r="O356" i="1" a="1"/>
  <c r="O356" i="1" s="1"/>
  <c r="N356" i="1"/>
  <c r="M356" i="1"/>
  <c r="O355" i="1"/>
  <c r="O355" i="1" a="1"/>
  <c r="N355" i="1"/>
  <c r="M355" i="1"/>
  <c r="O354" i="1" a="1"/>
  <c r="O354" i="1" s="1"/>
  <c r="N354" i="1"/>
  <c r="M354" i="1"/>
  <c r="O353" i="1" a="1"/>
  <c r="O353" i="1" s="1"/>
  <c r="N353" i="1"/>
  <c r="M353" i="1"/>
  <c r="O352" i="1" a="1"/>
  <c r="O352" i="1" s="1"/>
  <c r="N352" i="1"/>
  <c r="M352" i="1"/>
  <c r="O351" i="1"/>
  <c r="O351" i="1" a="1"/>
  <c r="N351" i="1"/>
  <c r="M351" i="1"/>
  <c r="O350" i="1" a="1"/>
  <c r="O350" i="1" s="1"/>
  <c r="N350" i="1"/>
  <c r="M350" i="1"/>
  <c r="O349" i="1" a="1"/>
  <c r="O349" i="1" s="1"/>
  <c r="N349" i="1"/>
  <c r="M349" i="1"/>
  <c r="O348" i="1"/>
  <c r="O348" i="1" a="1"/>
  <c r="N348" i="1"/>
  <c r="M348" i="1"/>
  <c r="O347" i="1"/>
  <c r="O347" i="1" a="1"/>
  <c r="N347" i="1"/>
  <c r="M347" i="1"/>
  <c r="O346" i="1" a="1"/>
  <c r="O346" i="1" s="1"/>
  <c r="N346" i="1"/>
  <c r="M346" i="1"/>
  <c r="O345" i="1" a="1"/>
  <c r="O345" i="1" s="1"/>
  <c r="N345" i="1"/>
  <c r="M345" i="1"/>
  <c r="O344" i="1" a="1"/>
  <c r="O344" i="1" s="1"/>
  <c r="N344" i="1"/>
  <c r="M344" i="1"/>
  <c r="O343" i="1"/>
  <c r="O343" i="1" a="1"/>
  <c r="N343" i="1"/>
  <c r="M343" i="1"/>
  <c r="O342" i="1"/>
  <c r="O342" i="1" a="1"/>
  <c r="N342" i="1"/>
  <c r="M342" i="1"/>
  <c r="O341" i="1" a="1"/>
  <c r="O341" i="1" s="1"/>
  <c r="N341" i="1"/>
  <c r="M341" i="1"/>
  <c r="O340" i="1" a="1"/>
  <c r="O340" i="1" s="1"/>
  <c r="N340" i="1"/>
  <c r="M340" i="1"/>
  <c r="O339" i="1"/>
  <c r="O339" i="1" a="1"/>
  <c r="N339" i="1"/>
  <c r="M339" i="1"/>
  <c r="O338" i="1" a="1"/>
  <c r="O338" i="1" s="1"/>
  <c r="N338" i="1"/>
  <c r="M338" i="1"/>
  <c r="O337" i="1" a="1"/>
  <c r="O337" i="1" s="1"/>
  <c r="N337" i="1"/>
  <c r="M337" i="1"/>
  <c r="O336" i="1" a="1"/>
  <c r="O336" i="1" s="1"/>
  <c r="N336" i="1"/>
  <c r="M336" i="1"/>
  <c r="O335" i="1"/>
  <c r="O335" i="1" a="1"/>
  <c r="N335" i="1"/>
  <c r="M335" i="1"/>
  <c r="O334" i="1" a="1"/>
  <c r="O334" i="1" s="1"/>
  <c r="N334" i="1"/>
  <c r="M334" i="1"/>
  <c r="O333" i="1" a="1"/>
  <c r="O333" i="1" s="1"/>
  <c r="N333" i="1"/>
  <c r="M333" i="1"/>
  <c r="O332" i="1" a="1"/>
  <c r="O332" i="1" s="1"/>
  <c r="N332" i="1"/>
  <c r="M332" i="1"/>
  <c r="O331" i="1"/>
  <c r="O331" i="1" a="1"/>
  <c r="N331" i="1"/>
  <c r="M331" i="1"/>
  <c r="O330" i="1" a="1"/>
  <c r="O330" i="1" s="1"/>
  <c r="N330" i="1"/>
  <c r="M330" i="1"/>
  <c r="O329" i="1" a="1"/>
  <c r="O329" i="1" s="1"/>
  <c r="N329" i="1"/>
  <c r="M329" i="1"/>
  <c r="O328" i="1" a="1"/>
  <c r="O328" i="1" s="1"/>
  <c r="N328" i="1"/>
  <c r="M328" i="1"/>
  <c r="O327" i="1"/>
  <c r="O327" i="1" a="1"/>
  <c r="N327" i="1"/>
  <c r="M327" i="1"/>
  <c r="O326" i="1" a="1"/>
  <c r="O326" i="1" s="1"/>
  <c r="N326" i="1"/>
  <c r="M326" i="1"/>
  <c r="O325" i="1" a="1"/>
  <c r="O325" i="1" s="1"/>
  <c r="N325" i="1"/>
  <c r="M325" i="1"/>
  <c r="O324" i="1" a="1"/>
  <c r="O324" i="1" s="1"/>
  <c r="N324" i="1"/>
  <c r="M324" i="1"/>
  <c r="O323" i="1"/>
  <c r="O323" i="1" a="1"/>
  <c r="N323" i="1"/>
  <c r="M323" i="1"/>
  <c r="O322" i="1" a="1"/>
  <c r="O322" i="1" s="1"/>
  <c r="N322" i="1"/>
  <c r="M322" i="1"/>
  <c r="O321" i="1" a="1"/>
  <c r="O321" i="1" s="1"/>
  <c r="N321" i="1"/>
  <c r="M321" i="1"/>
  <c r="O320" i="1" a="1"/>
  <c r="O320" i="1" s="1"/>
  <c r="N320" i="1"/>
  <c r="M320" i="1"/>
  <c r="O319" i="1"/>
  <c r="O319" i="1" a="1"/>
  <c r="N319" i="1"/>
  <c r="M319" i="1"/>
  <c r="O318" i="1" a="1"/>
  <c r="O318" i="1" s="1"/>
  <c r="N318" i="1"/>
  <c r="M318" i="1"/>
  <c r="O317" i="1" a="1"/>
  <c r="O317" i="1" s="1"/>
  <c r="N317" i="1"/>
  <c r="M317" i="1"/>
  <c r="O316" i="1" a="1"/>
  <c r="O316" i="1" s="1"/>
  <c r="N316" i="1"/>
  <c r="M316" i="1"/>
  <c r="O315" i="1"/>
  <c r="O315" i="1" a="1"/>
  <c r="N315" i="1"/>
  <c r="M315" i="1"/>
  <c r="O314" i="1"/>
  <c r="O314" i="1" a="1"/>
  <c r="N314" i="1"/>
  <c r="M314" i="1"/>
  <c r="O313" i="1" a="1"/>
  <c r="O313" i="1" s="1"/>
  <c r="N313" i="1"/>
  <c r="M313" i="1"/>
  <c r="O312" i="1"/>
  <c r="O312" i="1" a="1"/>
  <c r="N312" i="1"/>
  <c r="M312" i="1"/>
  <c r="O311" i="1"/>
  <c r="O311" i="1" a="1"/>
  <c r="N311" i="1"/>
  <c r="M311" i="1"/>
  <c r="O310" i="1" a="1"/>
  <c r="O310" i="1" s="1"/>
  <c r="N310" i="1"/>
  <c r="M310" i="1"/>
  <c r="O309" i="1" a="1"/>
  <c r="O309" i="1" s="1"/>
  <c r="N309" i="1"/>
  <c r="M309" i="1"/>
  <c r="O308" i="1" a="1"/>
  <c r="O308" i="1" s="1"/>
  <c r="N308" i="1"/>
  <c r="M308" i="1"/>
  <c r="O307" i="1"/>
  <c r="O307" i="1" a="1"/>
  <c r="N307" i="1"/>
  <c r="M307" i="1"/>
  <c r="O306" i="1" a="1"/>
  <c r="O306" i="1" s="1"/>
  <c r="N306" i="1"/>
  <c r="M306" i="1"/>
  <c r="O305" i="1" a="1"/>
  <c r="O305" i="1" s="1"/>
  <c r="N305" i="1"/>
  <c r="M305" i="1"/>
  <c r="O304" i="1" a="1"/>
  <c r="O304" i="1" s="1"/>
  <c r="N304" i="1"/>
  <c r="M304" i="1"/>
  <c r="O303" i="1"/>
  <c r="O303" i="1" a="1"/>
  <c r="N303" i="1"/>
  <c r="M303" i="1"/>
  <c r="O302" i="1" a="1"/>
  <c r="O302" i="1" s="1"/>
  <c r="N302" i="1"/>
  <c r="M302" i="1"/>
  <c r="O301" i="1" a="1"/>
  <c r="O301" i="1" s="1"/>
  <c r="N301" i="1"/>
  <c r="M301" i="1"/>
  <c r="O300" i="1" a="1"/>
  <c r="O300" i="1" s="1"/>
  <c r="N300" i="1"/>
  <c r="M300" i="1"/>
  <c r="O299" i="1"/>
  <c r="O299" i="1" a="1"/>
  <c r="N299" i="1"/>
  <c r="M299" i="1"/>
  <c r="O298" i="1" a="1"/>
  <c r="O298" i="1" s="1"/>
  <c r="N298" i="1"/>
  <c r="M298" i="1"/>
  <c r="O297" i="1" a="1"/>
  <c r="O297" i="1" s="1"/>
  <c r="N297" i="1"/>
  <c r="M297" i="1"/>
  <c r="O296" i="1" a="1"/>
  <c r="O296" i="1" s="1"/>
  <c r="N296" i="1"/>
  <c r="M296" i="1"/>
  <c r="O295" i="1"/>
  <c r="O295" i="1" a="1"/>
  <c r="N295" i="1"/>
  <c r="M295" i="1"/>
  <c r="O294" i="1" a="1"/>
  <c r="O294" i="1" s="1"/>
  <c r="N294" i="1"/>
  <c r="M294" i="1"/>
  <c r="O293" i="1" a="1"/>
  <c r="O293" i="1" s="1"/>
  <c r="N293" i="1"/>
  <c r="M293" i="1"/>
  <c r="O292" i="1" a="1"/>
  <c r="O292" i="1" s="1"/>
  <c r="N292" i="1"/>
  <c r="M292" i="1"/>
  <c r="O291" i="1"/>
  <c r="O291" i="1" a="1"/>
  <c r="N291" i="1"/>
  <c r="M291" i="1"/>
  <c r="O290" i="1" a="1"/>
  <c r="O290" i="1" s="1"/>
  <c r="N290" i="1"/>
  <c r="M290" i="1"/>
  <c r="O289" i="1" a="1"/>
  <c r="O289" i="1" s="1"/>
  <c r="N289" i="1"/>
  <c r="M289" i="1"/>
  <c r="O288" i="1" a="1"/>
  <c r="O288" i="1" s="1"/>
  <c r="N288" i="1"/>
  <c r="M288" i="1"/>
  <c r="O287" i="1"/>
  <c r="O287" i="1" a="1"/>
  <c r="N287" i="1"/>
  <c r="M287" i="1"/>
  <c r="O286" i="1" a="1"/>
  <c r="O286" i="1" s="1"/>
  <c r="N286" i="1"/>
  <c r="M286" i="1"/>
  <c r="O285" i="1" a="1"/>
  <c r="O285" i="1" s="1"/>
  <c r="N285" i="1"/>
  <c r="M285" i="1"/>
  <c r="O284" i="1"/>
  <c r="O284" i="1" a="1"/>
  <c r="N284" i="1"/>
  <c r="M284" i="1"/>
  <c r="O283" i="1"/>
  <c r="O283" i="1" a="1"/>
  <c r="N283" i="1"/>
  <c r="M283" i="1"/>
  <c r="O282" i="1" a="1"/>
  <c r="O282" i="1" s="1"/>
  <c r="N282" i="1"/>
  <c r="M282" i="1"/>
  <c r="O281" i="1" a="1"/>
  <c r="O281" i="1" s="1"/>
  <c r="N281" i="1"/>
  <c r="M281" i="1"/>
  <c r="O280" i="1" a="1"/>
  <c r="O280" i="1" s="1"/>
  <c r="N280" i="1"/>
  <c r="M280" i="1"/>
  <c r="O279" i="1"/>
  <c r="O279" i="1" a="1"/>
  <c r="N279" i="1"/>
  <c r="M279" i="1"/>
  <c r="O278" i="1"/>
  <c r="O278" i="1" a="1"/>
  <c r="N278" i="1"/>
  <c r="M278" i="1"/>
  <c r="O277" i="1" a="1"/>
  <c r="O277" i="1" s="1"/>
  <c r="N277" i="1"/>
  <c r="M277" i="1"/>
  <c r="O276" i="1" a="1"/>
  <c r="O276" i="1" s="1"/>
  <c r="N276" i="1"/>
  <c r="M276" i="1"/>
  <c r="O275" i="1"/>
  <c r="O275" i="1" a="1"/>
  <c r="N275" i="1"/>
  <c r="M275" i="1"/>
  <c r="O274" i="1" a="1"/>
  <c r="O274" i="1" s="1"/>
  <c r="N274" i="1"/>
  <c r="M274" i="1"/>
  <c r="O273" i="1" a="1"/>
  <c r="O273" i="1" s="1"/>
  <c r="N273" i="1"/>
  <c r="M273" i="1"/>
  <c r="O272" i="1" a="1"/>
  <c r="O272" i="1" s="1"/>
  <c r="N272" i="1"/>
  <c r="M272" i="1"/>
  <c r="O271" i="1"/>
  <c r="O271" i="1" a="1"/>
  <c r="N271" i="1"/>
  <c r="M271" i="1"/>
  <c r="O270" i="1" a="1"/>
  <c r="O270" i="1" s="1"/>
  <c r="N270" i="1"/>
  <c r="M270" i="1"/>
  <c r="O269" i="1" a="1"/>
  <c r="O269" i="1" s="1"/>
  <c r="N269" i="1"/>
  <c r="M269" i="1"/>
  <c r="O268" i="1" a="1"/>
  <c r="O268" i="1" s="1"/>
  <c r="N268" i="1"/>
  <c r="M268" i="1"/>
  <c r="O267" i="1"/>
  <c r="O267" i="1" a="1"/>
  <c r="N267" i="1"/>
  <c r="M267" i="1"/>
  <c r="O266" i="1" a="1"/>
  <c r="O266" i="1" s="1"/>
  <c r="N266" i="1"/>
  <c r="M266" i="1"/>
  <c r="O265" i="1" a="1"/>
  <c r="O265" i="1" s="1"/>
  <c r="N265" i="1"/>
  <c r="M265" i="1"/>
  <c r="O264" i="1" a="1"/>
  <c r="O264" i="1" s="1"/>
  <c r="N264" i="1"/>
  <c r="M264" i="1"/>
  <c r="O263" i="1"/>
  <c r="O263" i="1" a="1"/>
  <c r="N263" i="1"/>
  <c r="M263" i="1"/>
  <c r="O262" i="1" a="1"/>
  <c r="O262" i="1" s="1"/>
  <c r="N262" i="1"/>
  <c r="M262" i="1"/>
  <c r="O261" i="1" a="1"/>
  <c r="O261" i="1" s="1"/>
  <c r="N261" i="1"/>
  <c r="M261" i="1"/>
  <c r="O260" i="1" a="1"/>
  <c r="O260" i="1" s="1"/>
  <c r="N260" i="1"/>
  <c r="M260" i="1"/>
  <c r="O259" i="1"/>
  <c r="O259" i="1" a="1"/>
  <c r="N259" i="1"/>
  <c r="M259" i="1"/>
  <c r="O258" i="1" a="1"/>
  <c r="O258" i="1" s="1"/>
  <c r="N258" i="1"/>
  <c r="M258" i="1"/>
  <c r="O257" i="1" a="1"/>
  <c r="O257" i="1" s="1"/>
  <c r="N257" i="1"/>
  <c r="M257" i="1"/>
  <c r="O256" i="1" a="1"/>
  <c r="O256" i="1" s="1"/>
  <c r="N256" i="1"/>
  <c r="M256" i="1"/>
  <c r="O255" i="1"/>
  <c r="O255" i="1" a="1"/>
  <c r="N255" i="1"/>
  <c r="M255" i="1"/>
  <c r="O254" i="1" a="1"/>
  <c r="O254" i="1" s="1"/>
  <c r="N254" i="1"/>
  <c r="M254" i="1"/>
  <c r="O253" i="1" a="1"/>
  <c r="O253" i="1" s="1"/>
  <c r="N253" i="1"/>
  <c r="M253" i="1"/>
  <c r="O252" i="1" a="1"/>
  <c r="O252" i="1" s="1"/>
  <c r="N252" i="1"/>
  <c r="M252" i="1"/>
  <c r="O251" i="1"/>
  <c r="O251" i="1" a="1"/>
  <c r="N251" i="1"/>
  <c r="M251" i="1"/>
  <c r="O250" i="1"/>
  <c r="O250" i="1" a="1"/>
  <c r="N250" i="1"/>
  <c r="M250" i="1"/>
  <c r="O249" i="1" a="1"/>
  <c r="O249" i="1" s="1"/>
  <c r="N249" i="1"/>
  <c r="M249" i="1"/>
  <c r="O248" i="1"/>
  <c r="O248" i="1" a="1"/>
  <c r="N248" i="1"/>
  <c r="M248" i="1"/>
  <c r="O247" i="1"/>
  <c r="O247" i="1" a="1"/>
  <c r="N247" i="1"/>
  <c r="M247" i="1"/>
  <c r="O246" i="1" a="1"/>
  <c r="O246" i="1" s="1"/>
  <c r="N246" i="1"/>
  <c r="M246" i="1"/>
  <c r="O245" i="1" a="1"/>
  <c r="O245" i="1" s="1"/>
  <c r="N245" i="1"/>
  <c r="M245" i="1"/>
  <c r="O244" i="1" a="1"/>
  <c r="O244" i="1" s="1"/>
  <c r="N244" i="1"/>
  <c r="M244" i="1"/>
  <c r="O243" i="1"/>
  <c r="O243" i="1" a="1"/>
  <c r="N243" i="1"/>
  <c r="M243" i="1"/>
  <c r="O242" i="1" a="1"/>
  <c r="O242" i="1" s="1"/>
  <c r="N242" i="1"/>
  <c r="M242" i="1"/>
  <c r="O241" i="1" a="1"/>
  <c r="O241" i="1" s="1"/>
  <c r="N241" i="1"/>
  <c r="M241" i="1"/>
  <c r="O240" i="1" a="1"/>
  <c r="O240" i="1" s="1"/>
  <c r="N240" i="1"/>
  <c r="M240" i="1"/>
  <c r="O239" i="1"/>
  <c r="O239" i="1" a="1"/>
  <c r="N239" i="1"/>
  <c r="M239" i="1"/>
  <c r="O238" i="1" a="1"/>
  <c r="O238" i="1" s="1"/>
  <c r="N238" i="1"/>
  <c r="M238" i="1"/>
  <c r="O237" i="1" a="1"/>
  <c r="O237" i="1" s="1"/>
  <c r="N237" i="1"/>
  <c r="M237" i="1"/>
  <c r="O236" i="1" a="1"/>
  <c r="O236" i="1" s="1"/>
  <c r="N236" i="1"/>
  <c r="M236" i="1"/>
  <c r="O235" i="1"/>
  <c r="O235" i="1" a="1"/>
  <c r="N235" i="1"/>
  <c r="M235" i="1"/>
  <c r="O234" i="1" a="1"/>
  <c r="O234" i="1" s="1"/>
  <c r="N234" i="1"/>
  <c r="M234" i="1"/>
  <c r="O233" i="1" a="1"/>
  <c r="O233" i="1" s="1"/>
  <c r="N233" i="1"/>
  <c r="M233" i="1"/>
  <c r="O232" i="1" a="1"/>
  <c r="O232" i="1" s="1"/>
  <c r="N232" i="1"/>
  <c r="M232" i="1"/>
  <c r="O231" i="1"/>
  <c r="O231" i="1" a="1"/>
  <c r="N231" i="1"/>
  <c r="M231" i="1"/>
  <c r="O230" i="1" a="1"/>
  <c r="O230" i="1" s="1"/>
  <c r="N230" i="1"/>
  <c r="M230" i="1"/>
  <c r="O229" i="1" a="1"/>
  <c r="O229" i="1" s="1"/>
  <c r="N229" i="1"/>
  <c r="M229" i="1"/>
  <c r="O228" i="1" a="1"/>
  <c r="O228" i="1" s="1"/>
  <c r="N228" i="1"/>
  <c r="M228" i="1"/>
  <c r="O227" i="1"/>
  <c r="O227" i="1" a="1"/>
  <c r="N227" i="1"/>
  <c r="M227" i="1"/>
  <c r="O226" i="1" a="1"/>
  <c r="O226" i="1" s="1"/>
  <c r="N226" i="1"/>
  <c r="M226" i="1"/>
  <c r="O225" i="1" a="1"/>
  <c r="O225" i="1" s="1"/>
  <c r="N225" i="1"/>
  <c r="M225" i="1"/>
  <c r="O224" i="1" a="1"/>
  <c r="O224" i="1" s="1"/>
  <c r="N224" i="1"/>
  <c r="M224" i="1"/>
  <c r="O223" i="1"/>
  <c r="O223" i="1" a="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a="1"/>
  <c r="O216" i="1" s="1"/>
  <c r="N216" i="1"/>
  <c r="M216" i="1"/>
  <c r="O215" i="1"/>
  <c r="O215" i="1" a="1"/>
  <c r="N215" i="1"/>
  <c r="M215" i="1"/>
  <c r="O214" i="1"/>
  <c r="O214" i="1" a="1"/>
  <c r="N214" i="1"/>
  <c r="M214" i="1"/>
  <c r="O213" i="1" a="1"/>
  <c r="O213" i="1" s="1"/>
  <c r="N213" i="1"/>
  <c r="M213" i="1"/>
  <c r="O212" i="1" a="1"/>
  <c r="O212" i="1" s="1"/>
  <c r="N212" i="1"/>
  <c r="M212" i="1"/>
  <c r="O211" i="1"/>
  <c r="O211" i="1" a="1"/>
  <c r="N211" i="1"/>
  <c r="M211" i="1"/>
  <c r="O210" i="1" a="1"/>
  <c r="O210" i="1" s="1"/>
  <c r="N210" i="1"/>
  <c r="M210" i="1"/>
  <c r="O209" i="1" a="1"/>
  <c r="O209" i="1" s="1"/>
  <c r="N209" i="1"/>
  <c r="M209" i="1"/>
  <c r="O208" i="1" a="1"/>
  <c r="O208" i="1" s="1"/>
  <c r="N208" i="1"/>
  <c r="M208" i="1"/>
  <c r="O207" i="1"/>
  <c r="O207" i="1" a="1"/>
  <c r="N207" i="1"/>
  <c r="M207" i="1"/>
  <c r="O206" i="1" a="1"/>
  <c r="O206" i="1" s="1"/>
  <c r="N206" i="1"/>
  <c r="M206" i="1"/>
  <c r="O205" i="1" a="1"/>
  <c r="O205" i="1" s="1"/>
  <c r="N205" i="1"/>
  <c r="M205" i="1"/>
  <c r="O204" i="1" a="1"/>
  <c r="O204" i="1" s="1"/>
  <c r="N204" i="1"/>
  <c r="M204" i="1"/>
  <c r="O203" i="1"/>
  <c r="O203" i="1" a="1"/>
  <c r="N203" i="1"/>
  <c r="M203" i="1"/>
  <c r="O202" i="1" a="1"/>
  <c r="O202" i="1" s="1"/>
  <c r="N202" i="1"/>
  <c r="M202" i="1"/>
  <c r="O201" i="1" a="1"/>
  <c r="O201" i="1" s="1"/>
  <c r="N201" i="1"/>
  <c r="M201" i="1"/>
  <c r="O200" i="1" a="1"/>
  <c r="O200" i="1" s="1"/>
  <c r="N200" i="1"/>
  <c r="M200" i="1"/>
  <c r="O199" i="1"/>
  <c r="O199" i="1" a="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a="1"/>
  <c r="O192" i="1" s="1"/>
  <c r="N192" i="1"/>
  <c r="M192" i="1"/>
  <c r="O191" i="1"/>
  <c r="O191" i="1" a="1"/>
  <c r="N191" i="1"/>
  <c r="M191" i="1"/>
  <c r="O190" i="1" a="1"/>
  <c r="O190" i="1" s="1"/>
  <c r="N190" i="1"/>
  <c r="M190" i="1"/>
  <c r="O189" i="1" a="1"/>
  <c r="O189" i="1" s="1"/>
  <c r="N189" i="1"/>
  <c r="M189" i="1"/>
  <c r="O188" i="1" a="1"/>
  <c r="O188" i="1" s="1"/>
  <c r="N188" i="1"/>
  <c r="M188" i="1"/>
  <c r="O187" i="1"/>
  <c r="O187" i="1" a="1"/>
  <c r="N187" i="1"/>
  <c r="M187" i="1"/>
  <c r="O186" i="1"/>
  <c r="O186" i="1" a="1"/>
  <c r="N186" i="1"/>
  <c r="M186" i="1"/>
  <c r="O185" i="1" a="1"/>
  <c r="O185" i="1" s="1"/>
  <c r="N185" i="1"/>
  <c r="M185" i="1"/>
  <c r="O184" i="1"/>
  <c r="O184" i="1" a="1"/>
  <c r="N184" i="1"/>
  <c r="M184" i="1"/>
  <c r="O183" i="1"/>
  <c r="O183" i="1" a="1"/>
  <c r="N183" i="1"/>
  <c r="M183" i="1"/>
  <c r="O182" i="1" a="1"/>
  <c r="O182" i="1" s="1"/>
  <c r="N182" i="1"/>
  <c r="M182" i="1"/>
  <c r="O181" i="1" a="1"/>
  <c r="O181" i="1" s="1"/>
  <c r="N181" i="1"/>
  <c r="M181" i="1"/>
  <c r="O180" i="1" a="1"/>
  <c r="O180" i="1" s="1"/>
  <c r="N180" i="1"/>
  <c r="M180" i="1"/>
  <c r="O179" i="1"/>
  <c r="O179" i="1" a="1"/>
  <c r="N179" i="1"/>
  <c r="M179" i="1"/>
  <c r="O178" i="1" a="1"/>
  <c r="O178" i="1" s="1"/>
  <c r="N178" i="1"/>
  <c r="M178" i="1"/>
  <c r="O177" i="1" a="1"/>
  <c r="O177" i="1" s="1"/>
  <c r="N177" i="1"/>
  <c r="M177" i="1"/>
  <c r="O176" i="1" a="1"/>
  <c r="O176" i="1" s="1"/>
  <c r="N176" i="1"/>
  <c r="M176" i="1"/>
  <c r="O175" i="1"/>
  <c r="O175" i="1" a="1"/>
  <c r="N175" i="1"/>
  <c r="M175" i="1"/>
  <c r="O174" i="1" a="1"/>
  <c r="O174" i="1" s="1"/>
  <c r="N174" i="1"/>
  <c r="M174" i="1"/>
  <c r="O173" i="1" a="1"/>
  <c r="O173" i="1" s="1"/>
  <c r="N173" i="1"/>
  <c r="M173" i="1"/>
  <c r="O172" i="1" a="1"/>
  <c r="O172" i="1" s="1"/>
  <c r="N172" i="1"/>
  <c r="M172" i="1"/>
  <c r="O171" i="1"/>
  <c r="O171" i="1" a="1"/>
  <c r="N171" i="1"/>
  <c r="M171" i="1"/>
  <c r="O170" i="1" a="1"/>
  <c r="O170" i="1" s="1"/>
  <c r="N170" i="1"/>
  <c r="M170" i="1"/>
  <c r="O169" i="1" a="1"/>
  <c r="O169" i="1" s="1"/>
  <c r="N169" i="1"/>
  <c r="M169" i="1"/>
  <c r="O168" i="1" a="1"/>
  <c r="O168" i="1" s="1"/>
  <c r="N168" i="1"/>
  <c r="M168" i="1"/>
  <c r="O167" i="1"/>
  <c r="O167" i="1" a="1"/>
  <c r="N167" i="1"/>
  <c r="M167" i="1"/>
  <c r="O166" i="1" a="1"/>
  <c r="O166" i="1" s="1"/>
  <c r="N166" i="1"/>
  <c r="M166" i="1"/>
  <c r="O165" i="1" a="1"/>
  <c r="O165" i="1" s="1"/>
  <c r="N165" i="1"/>
  <c r="M165" i="1"/>
  <c r="O164" i="1" a="1"/>
  <c r="O164" i="1" s="1"/>
  <c r="N164" i="1"/>
  <c r="M164" i="1"/>
  <c r="O163" i="1"/>
  <c r="O163" i="1" a="1"/>
  <c r="N163" i="1"/>
  <c r="M163" i="1"/>
  <c r="O162" i="1" a="1"/>
  <c r="O162" i="1" s="1"/>
  <c r="N162" i="1"/>
  <c r="M162" i="1"/>
  <c r="O161" i="1" a="1"/>
  <c r="O161" i="1" s="1"/>
  <c r="N161" i="1"/>
  <c r="M161" i="1"/>
  <c r="O160" i="1" a="1"/>
  <c r="O160" i="1" s="1"/>
  <c r="N160" i="1"/>
  <c r="M160" i="1"/>
  <c r="O159" i="1"/>
  <c r="O159" i="1" a="1"/>
  <c r="N159" i="1"/>
  <c r="M159" i="1"/>
  <c r="O158" i="1" a="1"/>
  <c r="O158" i="1" s="1"/>
  <c r="N158" i="1"/>
  <c r="M158" i="1"/>
  <c r="O157" i="1" a="1"/>
  <c r="O157" i="1" s="1"/>
  <c r="N157" i="1"/>
  <c r="M157" i="1"/>
  <c r="O156" i="1"/>
  <c r="O156" i="1" a="1"/>
  <c r="N156" i="1"/>
  <c r="M156" i="1"/>
  <c r="O155" i="1"/>
  <c r="O155" i="1" a="1"/>
  <c r="N155" i="1"/>
  <c r="M155" i="1"/>
  <c r="O154" i="1" a="1"/>
  <c r="O154" i="1" s="1"/>
  <c r="N154" i="1"/>
  <c r="M154" i="1"/>
  <c r="O153" i="1" a="1"/>
  <c r="O153" i="1" s="1"/>
  <c r="N153" i="1"/>
  <c r="M153" i="1"/>
  <c r="O152" i="1" a="1"/>
  <c r="O152" i="1" s="1"/>
  <c r="N152" i="1"/>
  <c r="M152" i="1"/>
  <c r="O151" i="1"/>
  <c r="O151" i="1" a="1"/>
  <c r="N151" i="1"/>
  <c r="M151" i="1"/>
  <c r="O150" i="1"/>
  <c r="O150" i="1" a="1"/>
  <c r="N150" i="1"/>
  <c r="M150" i="1"/>
  <c r="O149" i="1" a="1"/>
  <c r="O149" i="1" s="1"/>
  <c r="N149" i="1"/>
  <c r="M149" i="1"/>
  <c r="O148" i="1" a="1"/>
  <c r="O148" i="1" s="1"/>
  <c r="N148" i="1"/>
  <c r="M148" i="1"/>
  <c r="O147" i="1"/>
  <c r="O147" i="1" a="1"/>
  <c r="N147" i="1"/>
  <c r="M147" i="1"/>
  <c r="O146" i="1" a="1"/>
  <c r="O146" i="1" s="1"/>
  <c r="N146" i="1"/>
  <c r="M146" i="1"/>
  <c r="O145" i="1" a="1"/>
  <c r="O145" i="1" s="1"/>
  <c r="N145" i="1"/>
  <c r="M145" i="1"/>
  <c r="O144" i="1" a="1"/>
  <c r="O144" i="1" s="1"/>
  <c r="N144" i="1"/>
  <c r="M144" i="1"/>
  <c r="O143" i="1"/>
  <c r="O143" i="1" a="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c r="O135" i="1" a="1"/>
  <c r="N135" i="1"/>
  <c r="M135" i="1"/>
  <c r="O134" i="1" a="1"/>
  <c r="O134" i="1" s="1"/>
  <c r="N134" i="1"/>
  <c r="M134" i="1"/>
  <c r="O133" i="1" a="1"/>
  <c r="O133" i="1" s="1"/>
  <c r="N133" i="1"/>
  <c r="M133" i="1"/>
  <c r="O132" i="1" a="1"/>
  <c r="O132" i="1" s="1"/>
  <c r="N132" i="1"/>
  <c r="M132" i="1"/>
  <c r="O131" i="1"/>
  <c r="O131" i="1" a="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a="1"/>
  <c r="O124" i="1" s="1"/>
  <c r="N124" i="1"/>
  <c r="M124" i="1"/>
  <c r="O123" i="1"/>
  <c r="O123" i="1" a="1"/>
  <c r="N123" i="1"/>
  <c r="M123" i="1"/>
  <c r="O122" i="1"/>
  <c r="O122" i="1" a="1"/>
  <c r="N122" i="1"/>
  <c r="M122" i="1"/>
  <c r="O121" i="1" a="1"/>
  <c r="O121" i="1" s="1"/>
  <c r="N121" i="1"/>
  <c r="M121" i="1"/>
  <c r="O120" i="1"/>
  <c r="O120" i="1" a="1"/>
  <c r="N120" i="1"/>
  <c r="M120" i="1"/>
  <c r="O119" i="1"/>
  <c r="O119" i="1" a="1"/>
  <c r="N119" i="1"/>
  <c r="M119" i="1"/>
  <c r="O118" i="1" a="1"/>
  <c r="O118" i="1" s="1"/>
  <c r="N118" i="1"/>
  <c r="M118" i="1"/>
  <c r="O117" i="1" a="1"/>
  <c r="O117" i="1" s="1"/>
  <c r="N117" i="1"/>
  <c r="M117" i="1"/>
  <c r="O116" i="1" a="1"/>
  <c r="O116" i="1" s="1"/>
  <c r="N116" i="1"/>
  <c r="M116" i="1"/>
  <c r="O115" i="1"/>
  <c r="O115" i="1" a="1"/>
  <c r="N115" i="1"/>
  <c r="M115" i="1"/>
  <c r="O114" i="1" a="1"/>
  <c r="O114" i="1" s="1"/>
  <c r="N114" i="1"/>
  <c r="M114" i="1"/>
  <c r="O113" i="1" a="1"/>
  <c r="O113" i="1" s="1"/>
  <c r="N113" i="1"/>
  <c r="M113" i="1"/>
  <c r="O112" i="1" a="1"/>
  <c r="O112" i="1" s="1"/>
  <c r="N112" i="1"/>
  <c r="M112" i="1"/>
  <c r="O111" i="1"/>
  <c r="O111" i="1" a="1"/>
  <c r="N111" i="1"/>
  <c r="M111" i="1"/>
  <c r="O110" i="1" a="1"/>
  <c r="O110" i="1" s="1"/>
  <c r="N110" i="1"/>
  <c r="M110" i="1"/>
  <c r="O109" i="1" a="1"/>
  <c r="O109" i="1" s="1"/>
  <c r="N109" i="1"/>
  <c r="M109" i="1"/>
  <c r="O108" i="1" a="1"/>
  <c r="O108" i="1" s="1"/>
  <c r="N108" i="1"/>
  <c r="M108" i="1"/>
  <c r="O107" i="1"/>
  <c r="O107" i="1" a="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c r="O99" i="1" a="1"/>
  <c r="N99" i="1"/>
  <c r="M99" i="1"/>
  <c r="O98" i="1" a="1"/>
  <c r="O98" i="1" s="1"/>
  <c r="N98" i="1"/>
  <c r="M98" i="1"/>
  <c r="O97" i="1" a="1"/>
  <c r="O97" i="1" s="1"/>
  <c r="N97" i="1"/>
  <c r="M97" i="1"/>
  <c r="O96" i="1" a="1"/>
  <c r="O96" i="1" s="1"/>
  <c r="N96" i="1"/>
  <c r="M96" i="1"/>
  <c r="O95" i="1"/>
  <c r="O95" i="1" a="1"/>
  <c r="N95" i="1"/>
  <c r="M95" i="1"/>
  <c r="O94" i="1" a="1"/>
  <c r="O94" i="1" s="1"/>
  <c r="N94" i="1"/>
  <c r="M94" i="1"/>
  <c r="O93" i="1" a="1"/>
  <c r="O93" i="1" s="1"/>
  <c r="N93" i="1"/>
  <c r="M93" i="1"/>
  <c r="O92" i="1"/>
  <c r="O92" i="1" a="1"/>
  <c r="N92" i="1"/>
  <c r="M92" i="1"/>
  <c r="O91" i="1"/>
  <c r="O91" i="1" a="1"/>
  <c r="N91" i="1"/>
  <c r="M91" i="1"/>
  <c r="O90" i="1" a="1"/>
  <c r="O90" i="1" s="1"/>
  <c r="N90" i="1"/>
  <c r="M90" i="1"/>
  <c r="O89" i="1" a="1"/>
  <c r="O89" i="1" s="1"/>
  <c r="N89" i="1"/>
  <c r="M89" i="1"/>
  <c r="O88" i="1" a="1"/>
  <c r="O88" i="1" s="1"/>
  <c r="N88" i="1"/>
  <c r="M88" i="1"/>
  <c r="O87" i="1"/>
  <c r="O87" i="1" a="1"/>
  <c r="N87" i="1"/>
  <c r="M87" i="1"/>
  <c r="O86" i="1"/>
  <c r="O86" i="1" a="1"/>
  <c r="N86" i="1"/>
  <c r="M86" i="1"/>
  <c r="O85" i="1" a="1"/>
  <c r="O85" i="1" s="1"/>
  <c r="N85" i="1"/>
  <c r="M85" i="1"/>
  <c r="O84" i="1" a="1"/>
  <c r="O84" i="1" s="1"/>
  <c r="N84" i="1"/>
  <c r="M84" i="1"/>
  <c r="O83" i="1"/>
  <c r="O83" i="1" a="1"/>
  <c r="N83" i="1"/>
  <c r="M83" i="1"/>
  <c r="O82" i="1" a="1"/>
  <c r="O82" i="1" s="1"/>
  <c r="N82" i="1"/>
  <c r="M82" i="1"/>
  <c r="O81" i="1" a="1"/>
  <c r="O81" i="1" s="1"/>
  <c r="N81" i="1"/>
  <c r="M81" i="1"/>
  <c r="O80" i="1" a="1"/>
  <c r="O80" i="1" s="1"/>
  <c r="N80" i="1"/>
  <c r="M80" i="1"/>
  <c r="O79" i="1"/>
  <c r="O79" i="1" a="1"/>
  <c r="N79" i="1"/>
  <c r="M79" i="1"/>
  <c r="O78" i="1" a="1"/>
  <c r="O78" i="1" s="1"/>
  <c r="N78" i="1"/>
  <c r="M78" i="1"/>
  <c r="O77" i="1" a="1"/>
  <c r="O77" i="1" s="1"/>
  <c r="N77" i="1"/>
  <c r="M77" i="1"/>
  <c r="O76" i="1" a="1"/>
  <c r="O76" i="1" s="1"/>
  <c r="N76" i="1"/>
  <c r="M76" i="1"/>
  <c r="O75" i="1"/>
  <c r="O75" i="1" a="1"/>
  <c r="N75" i="1"/>
  <c r="M75" i="1"/>
  <c r="O74" i="1" a="1"/>
  <c r="O74" i="1" s="1"/>
  <c r="N74" i="1"/>
  <c r="M74" i="1"/>
  <c r="O73" i="1" a="1"/>
  <c r="O73" i="1" s="1"/>
  <c r="N73" i="1"/>
  <c r="M73" i="1"/>
  <c r="O72" i="1" a="1"/>
  <c r="O72" i="1" s="1"/>
  <c r="N72" i="1"/>
  <c r="M72" i="1"/>
  <c r="O71" i="1"/>
  <c r="O71" i="1" a="1"/>
  <c r="N71" i="1"/>
  <c r="M71" i="1"/>
  <c r="O70" i="1" a="1"/>
  <c r="O70" i="1" s="1"/>
  <c r="N70" i="1"/>
  <c r="M70" i="1"/>
  <c r="O69" i="1" a="1"/>
  <c r="O69" i="1" s="1"/>
  <c r="N69" i="1"/>
  <c r="M69" i="1"/>
  <c r="O68" i="1" a="1"/>
  <c r="O68" i="1" s="1"/>
  <c r="N68" i="1"/>
  <c r="M68" i="1"/>
  <c r="O67" i="1"/>
  <c r="O67" i="1" a="1"/>
  <c r="N67" i="1"/>
  <c r="M67" i="1"/>
  <c r="O66" i="1" a="1"/>
  <c r="O66" i="1" s="1"/>
  <c r="N66" i="1"/>
  <c r="M66" i="1"/>
  <c r="O65" i="1" a="1"/>
  <c r="O65" i="1" s="1"/>
  <c r="N65" i="1"/>
  <c r="M65" i="1"/>
  <c r="O64" i="1" a="1"/>
  <c r="O64" i="1" s="1"/>
  <c r="N64" i="1"/>
  <c r="M64" i="1"/>
  <c r="O63" i="1"/>
  <c r="O63" i="1" a="1"/>
  <c r="N63" i="1"/>
  <c r="M63" i="1"/>
  <c r="O62" i="1" a="1"/>
  <c r="O62" i="1" s="1"/>
  <c r="N62" i="1"/>
  <c r="M62" i="1"/>
  <c r="O61" i="1" a="1"/>
  <c r="O61" i="1" s="1"/>
  <c r="N61" i="1"/>
  <c r="M61" i="1"/>
  <c r="O60" i="1" a="1"/>
  <c r="O60" i="1" s="1"/>
  <c r="N60" i="1"/>
  <c r="M60" i="1"/>
  <c r="O59" i="1"/>
  <c r="O59" i="1" a="1"/>
  <c r="N59" i="1"/>
  <c r="M59" i="1"/>
  <c r="O58" i="1"/>
  <c r="O58" i="1" a="1"/>
  <c r="N58" i="1"/>
  <c r="M58" i="1"/>
  <c r="O57" i="1" a="1"/>
  <c r="O57" i="1" s="1"/>
  <c r="N57" i="1"/>
  <c r="M57" i="1"/>
  <c r="O56" i="1"/>
  <c r="O56" i="1" a="1"/>
  <c r="N56" i="1"/>
  <c r="M56" i="1"/>
  <c r="O55" i="1"/>
  <c r="O55" i="1" a="1"/>
  <c r="N55" i="1"/>
  <c r="M55" i="1"/>
  <c r="O54" i="1" a="1"/>
  <c r="O54" i="1" s="1"/>
  <c r="N54" i="1"/>
  <c r="M54" i="1"/>
  <c r="O53" i="1" a="1"/>
  <c r="O53" i="1" s="1"/>
  <c r="N53" i="1"/>
  <c r="M53" i="1"/>
  <c r="O52" i="1" a="1"/>
  <c r="O52" i="1" s="1"/>
  <c r="N52" i="1"/>
  <c r="M52" i="1"/>
  <c r="O51" i="1"/>
  <c r="O51" i="1" a="1"/>
  <c r="N51" i="1"/>
  <c r="M51" i="1"/>
  <c r="O50" i="1" a="1"/>
  <c r="O50" i="1" s="1"/>
  <c r="N50" i="1"/>
  <c r="M50" i="1"/>
  <c r="O49" i="1" a="1"/>
  <c r="O49" i="1" s="1"/>
  <c r="N49" i="1"/>
  <c r="M49" i="1"/>
  <c r="O48" i="1" a="1"/>
  <c r="O48" i="1" s="1"/>
  <c r="N48" i="1"/>
  <c r="M48" i="1"/>
  <c r="O47" i="1"/>
  <c r="O47" i="1" a="1"/>
  <c r="N47" i="1"/>
  <c r="M47" i="1"/>
  <c r="O46" i="1" a="1"/>
  <c r="O46" i="1" s="1"/>
  <c r="N46" i="1"/>
  <c r="M46" i="1"/>
  <c r="O45" i="1" a="1"/>
  <c r="O45" i="1" s="1"/>
  <c r="N45" i="1"/>
  <c r="M45" i="1"/>
  <c r="O44" i="1" a="1"/>
  <c r="O44" i="1" s="1"/>
  <c r="N44" i="1"/>
  <c r="M44" i="1"/>
  <c r="O43" i="1"/>
  <c r="O43" i="1" a="1"/>
  <c r="N43" i="1"/>
  <c r="M43" i="1"/>
  <c r="O42" i="1" a="1"/>
  <c r="O42" i="1" s="1"/>
  <c r="N42" i="1"/>
  <c r="M42" i="1"/>
  <c r="O41" i="1" a="1"/>
  <c r="O41" i="1" s="1"/>
  <c r="N41" i="1"/>
  <c r="M41" i="1"/>
  <c r="O40" i="1" a="1"/>
  <c r="O40" i="1" s="1"/>
  <c r="N40" i="1"/>
  <c r="M40" i="1"/>
  <c r="O39" i="1"/>
  <c r="O39" i="1" a="1"/>
  <c r="N39" i="1"/>
  <c r="M39" i="1"/>
  <c r="O38" i="1" a="1"/>
  <c r="O38" i="1" s="1"/>
  <c r="N38" i="1"/>
  <c r="M38" i="1"/>
  <c r="O37" i="1" a="1"/>
  <c r="O37" i="1" s="1"/>
  <c r="N37" i="1"/>
  <c r="M37" i="1"/>
  <c r="O36" i="1" a="1"/>
  <c r="O36" i="1" s="1"/>
  <c r="N36" i="1"/>
  <c r="M36" i="1"/>
  <c r="O35" i="1"/>
  <c r="O35" i="1" a="1"/>
  <c r="N35" i="1"/>
  <c r="M35" i="1"/>
  <c r="O34" i="1" a="1"/>
  <c r="O34" i="1" s="1"/>
  <c r="N34" i="1"/>
  <c r="M34" i="1"/>
  <c r="O33" i="1" a="1"/>
  <c r="O33" i="1" s="1"/>
  <c r="N33" i="1"/>
  <c r="M33" i="1"/>
  <c r="O32" i="1" a="1"/>
  <c r="O32" i="1" s="1"/>
  <c r="N32" i="1"/>
  <c r="M32" i="1"/>
  <c r="O31" i="1"/>
  <c r="O31" i="1" a="1"/>
  <c r="N31" i="1"/>
  <c r="M31" i="1"/>
  <c r="O30" i="1" a="1"/>
  <c r="O30" i="1" s="1"/>
  <c r="N30" i="1"/>
  <c r="M30" i="1"/>
  <c r="O29" i="1" a="1"/>
  <c r="O29" i="1" s="1"/>
  <c r="N29" i="1"/>
  <c r="M29" i="1"/>
  <c r="O28" i="1"/>
  <c r="O28" i="1" a="1"/>
  <c r="N28" i="1"/>
  <c r="M28" i="1"/>
  <c r="O27" i="1"/>
  <c r="O27" i="1" a="1"/>
  <c r="N27" i="1"/>
  <c r="M27" i="1"/>
  <c r="O26" i="1" a="1"/>
  <c r="O26" i="1" s="1"/>
  <c r="N26" i="1"/>
  <c r="M26" i="1"/>
  <c r="O25" i="1" a="1"/>
  <c r="O25" i="1" s="1"/>
  <c r="N25" i="1"/>
  <c r="M25" i="1"/>
  <c r="O24" i="1" a="1"/>
  <c r="O24" i="1" s="1"/>
  <c r="N24" i="1"/>
  <c r="M24" i="1"/>
  <c r="O23" i="1"/>
  <c r="O23" i="1" a="1"/>
  <c r="N23" i="1"/>
  <c r="M23" i="1"/>
  <c r="O22" i="1"/>
  <c r="O22" i="1" a="1"/>
  <c r="N22" i="1"/>
  <c r="M22" i="1"/>
  <c r="O21" i="1" a="1"/>
  <c r="O21" i="1" s="1"/>
  <c r="N21" i="1"/>
  <c r="M21" i="1"/>
  <c r="O20" i="1" a="1"/>
  <c r="O20" i="1" s="1"/>
  <c r="N20" i="1"/>
  <c r="M20" i="1"/>
  <c r="O19" i="1"/>
  <c r="O19" i="1" a="1"/>
  <c r="N19" i="1"/>
  <c r="M19" i="1"/>
  <c r="O18" i="1" a="1"/>
  <c r="O18" i="1" s="1"/>
  <c r="N18" i="1"/>
  <c r="M18" i="1"/>
  <c r="O17" i="1" a="1"/>
  <c r="O17" i="1" s="1"/>
  <c r="N17" i="1"/>
  <c r="M17" i="1"/>
  <c r="O16" i="1" a="1"/>
  <c r="O16" i="1" s="1"/>
  <c r="N16" i="1"/>
  <c r="M16" i="1"/>
  <c r="O15" i="1"/>
  <c r="O15" i="1" a="1"/>
  <c r="N15" i="1"/>
  <c r="M15" i="1"/>
  <c r="O14" i="1" a="1"/>
  <c r="O14" i="1" s="1"/>
  <c r="N14" i="1"/>
  <c r="M14" i="1"/>
  <c r="O13" i="1" a="1"/>
  <c r="O13" i="1" s="1"/>
  <c r="N13" i="1"/>
  <c r="M13" i="1"/>
  <c r="O12" i="1" a="1"/>
  <c r="O12" i="1" s="1"/>
  <c r="N12" i="1"/>
  <c r="M12" i="1"/>
  <c r="O11" i="1"/>
  <c r="O11" i="1" a="1"/>
  <c r="N11" i="1"/>
  <c r="M11" i="1"/>
  <c r="O10" i="1" a="1"/>
  <c r="O10" i="1" s="1"/>
  <c r="N10" i="1"/>
  <c r="M10" i="1"/>
  <c r="O9" i="1" a="1"/>
  <c r="O9" i="1" s="1"/>
  <c r="N9" i="1"/>
  <c r="M9" i="1"/>
  <c r="O8" i="1" a="1"/>
  <c r="O8" i="1" s="1"/>
  <c r="N8" i="1"/>
  <c r="M8" i="1"/>
  <c r="O7" i="1"/>
  <c r="O7" i="1" a="1"/>
  <c r="N7" i="1"/>
  <c r="M7" i="1"/>
  <c r="O6" i="1" a="1"/>
  <c r="O6" i="1" s="1"/>
  <c r="N6" i="1"/>
  <c r="M6" i="1"/>
  <c r="O5" i="1" a="1"/>
  <c r="O5" i="1" s="1"/>
  <c r="N5" i="1"/>
  <c r="M5" i="1"/>
  <c r="O4" i="1" a="1"/>
  <c r="O4" i="1" s="1"/>
  <c r="N4" i="1"/>
  <c r="M4" i="1"/>
  <c r="O3" i="1"/>
  <c r="O3" i="1" a="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<sst xmlns="http://schemas.openxmlformats.org/spreadsheetml/2006/main" count="14858" uniqueCount="2528">
  <si>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</si>
  <si>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</si>
  <si>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</si>
  <si>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</si>
  <si>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</si>
  <si>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</si>
  <si>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</si>
  <si>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</si>
  <si>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</si>
  <si>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</si>
  <si>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</si>
  <si>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</si>
  <si>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</si>
  <si>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</si>
  <si>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</si>
  <si>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</si>
  <si>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</si>
  <si>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</si>
  <si>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</si>
  <si>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</si>
  <si>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</si>
  <si>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</si>
  <si>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</si>
  <si>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</si>
  <si>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</si>
  <si>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</si>
  <si>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</si>
  <si>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</si>
  <si>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</si>
  <si>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</si>
  <si>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</si>
  <si>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</si>
  <si>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</si>
  <si>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</si>
  <si>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</si>
  <si>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</si>
  <si>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</si>
  <si>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</si>
  <si>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</si>
  <si>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</si>
  <si>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</si>
  <si>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</si>
  <si>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</si>
  <si>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</si>
  <si>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</si>
  <si>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</si>
  <si>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</si>
  <si>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</si>
  <si>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</si>
  <si>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</si>
  <si>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</si>
  <si>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</si>
  <si>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</si>
  <si>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</si>
  <si>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</si>
  <si>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</si>
  <si>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</si>
  <si>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</si>
  <si>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</si>
  <si>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</si>
  <si>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</si>
  <si>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</si>
  <si>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</si>
  <si>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</si>
  <si>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</si>
  <si>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</si>
  <si>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</si>
  <si>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</si>
  <si>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</si>
  <si>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</si>
  <si>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</si>
  <si>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</si>
  <si>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</si>
  <si>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</si>
  <si>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</si>
  <si>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</si>
  <si>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</si>
  <si>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</si>
  <si>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</si>
  <si>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</si>
  <si>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</si>
  <si>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</si>
  <si>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</si>
  <si>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</si>
  <si>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</si>
  <si>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</si>
  <si>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</si>
  <si>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</si>
  <si>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</si>
  <si>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</si>
  <si>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</si>
  <si>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</si>
  <si>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</si>
  <si>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</si>
  <si>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</si>
  <si>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</si>
  <si>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</si>
  <si>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</si>
  <si>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</si>
  <si>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</si>
  <si>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</si>
  <si>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</si>
  <si>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</si>
  <si>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</si>
  <si>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</si>
  <si>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</si>
  <si>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</si>
  <si>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</si>
  <si>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</si>
  <si>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</si>
  <si>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</si>
  <si>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</si>
  <si>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</si>
  <si>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</si>
  <si>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</si>
  <si>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</si>
  <si>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</si>
  <si>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</si>
  <si>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</si>
  <si>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</si>
  <si>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</si>
  <si>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</si>
  <si>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</si>
  <si>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</si>
  <si>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</si>
  <si>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</si>
  <si>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</si>
  <si>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</si>
  <si>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</si>
  <si>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</si>
  <si>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</si>
  <si>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</si>
  <si>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</si>
  <si>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</si>
  <si>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</si>
  <si>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</si>
  <si>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</si>
  <si>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</si>
  <si>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</si>
  <si>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</si>
  <si>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</si>
  <si>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</si>
  <si>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</si>
  <si>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</si>
  <si>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</si>
  <si>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</si>
  <si>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</si>
  <si>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</si>
  <si>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</si>
  <si>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</si>
  <si>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</si>
  <si>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</si>
  <si>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</si>
  <si>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</si>
  <si>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</si>
  <si>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</si>
  <si>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</si>
  <si>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</si>
  <si>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</si>
  <si>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</si>
  <si>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</si>
  <si>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</si>
  <si>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</si>
  <si>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</si>
  <si>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</si>
  <si>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</si>
  <si>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</si>
  <si>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</si>
  <si>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</si>
  <si>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</si>
  <si>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</si>
  <si>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</si>
  <si>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</si>
  <si>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</si>
  <si>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</si>
  <si>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</si>
  <si>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</si>
  <si>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</si>
  <si>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</si>
  <si>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</si>
  <si>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</si>
  <si>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</si>
  <si>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</si>
  <si>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</si>
  <si>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</si>
  <si>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</si>
  <si>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</si>
  <si>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</si>
  <si>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</si>
  <si>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</si>
  <si>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</si>
  <si>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</si>
  <si>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</si>
  <si>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</si>
  <si>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</si>
  <si>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</si>
  <si>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</si>
  <si>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</si>
  <si>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</si>
  <si>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</si>
  <si>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</si>
  <si>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</si>
  <si>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</si>
  <si>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</si>
  <si>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</si>
  <si>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</si>
  <si>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</si>
  <si>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</si>
  <si>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</si>
  <si>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</si>
  <si>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</si>
  <si>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</si>
  <si>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</si>
  <si>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</si>
  <si>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</si>
  <si>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</si>
  <si>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</si>
  <si>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</si>
  <si>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</si>
  <si>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</si>
  <si>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</si>
  <si>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</si>
  <si>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</si>
  <si>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</si>
  <si>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</si>
  <si>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</si>
  <si>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</si>
  <si>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</si>
  <si>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</si>
  <si>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</si>
  <si>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</si>
  <si>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</si>
  <si>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</si>
  <si>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</si>
  <si>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</si>
  <si>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</si>
  <si>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</si>
  <si>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</si>
  <si>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</si>
  <si>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</si>
  <si>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</si>
  <si>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</si>
  <si>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</si>
  <si>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</si>
  <si>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</si>
  <si>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</si>
  <si>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</si>
  <si>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</si>
  <si>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</si>
  <si>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</si>
  <si>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</si>
  <si>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</si>
  <si>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</si>
  <si>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</si>
  <si>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</si>
  <si>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</si>
  <si>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</si>
  <si>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</si>
  <si>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</si>
  <si>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</si>
  <si>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</si>
  <si>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</si>
  <si>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</si>
  <si>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</si>
  <si>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</si>
  <si>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</si>
  <si>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</si>
  <si>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</si>
  <si>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</si>
  <si>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</si>
  <si>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</si>
  <si>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</si>
  <si>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</si>
  <si>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</si>
  <si>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</si>
  <si>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</si>
  <si>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</si>
  <si>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</si>
  <si>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</si>
  <si>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</si>
  <si>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</si>
  <si>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</si>
  <si>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</si>
  <si>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</si>
  <si>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</si>
  <si>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</si>
  <si>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</si>
  <si>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</si>
  <si>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</si>
  <si>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</si>
  <si>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</si>
  <si>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</si>
  <si>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</si>
  <si>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</si>
  <si>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</si>
  <si>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</si>
  <si>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</si>
  <si>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</si>
  <si>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</si>
  <si>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</si>
  <si>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</si>
  <si>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</si>
  <si>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</si>
  <si>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</si>
  <si>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</si>
  <si>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</si>
  <si>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</si>
  <si>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</si>
  <si>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</si>
  <si>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</si>
  <si>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</si>
  <si>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</si>
  <si>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</si>
  <si>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</si>
  <si>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</si>
  <si>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</si>
  <si>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</si>
  <si>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</si>
  <si>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</si>
  <si>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</si>
  <si>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</si>
  <si>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</si>
  <si>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</si>
  <si>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</si>
  <si>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</si>
  <si>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</si>
  <si>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</si>
  <si>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</si>
  <si>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</si>
  <si>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</si>
  <si>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</si>
  <si>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</si>
  <si>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</si>
  <si>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</si>
  <si>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</si>
  <si>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</si>
  <si>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</si>
  <si>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</si>
  <si>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</si>
  <si>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</si>
  <si>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</si>
  <si>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</si>
  <si>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</si>
  <si>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</si>
  <si>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</si>
  <si>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</si>
  <si>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</si>
  <si>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</si>
  <si>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</si>
  <si>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</si>
  <si>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</si>
  <si>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</si>
  <si>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</si>
  <si>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</si>
  <si>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</si>
  <si>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</si>
  <si>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</si>
  <si>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</si>
  <si>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</si>
  <si>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</si>
  <si>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</si>
  <si>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</si>
  <si>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</si>
  <si>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</si>
  <si>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</si>
  <si>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</si>
  <si>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</si>
  <si>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</si>
  <si>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</si>
  <si>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</si>
  <si>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</si>
  <si>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</si>
  <si>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</si>
  <si>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</si>
  <si>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</si>
  <si>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</si>
  <si>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</si>
  <si>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</si>
  <si>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</si>
  <si>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</si>
  <si>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</si>
  <si>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</si>
  <si>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</si>
  <si>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</si>
  <si>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</si>
  <si>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</si>
  <si>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</si>
  <si>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</si>
  <si>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</si>
  <si>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</si>
  <si>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</si>
  <si>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</si>
  <si>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</si>
  <si>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</si>
  <si>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</si>
  <si>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</si>
  <si>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</si>
  <si>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</si>
  <si>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</si>
  <si>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</si>
  <si>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</si>
  <si>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</si>
  <si>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</si>
  <si>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</si>
  <si>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</si>
  <si>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</si>
  <si>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</si>
  <si>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</si>
  <si>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</si>
  <si>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</si>
  <si>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</si>
  <si>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</si>
  <si>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</si>
  <si>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</si>
  <si>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</si>
  <si>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</si>
  <si>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</si>
  <si>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</si>
  <si>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</si>
  <si>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</si>
  <si>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</si>
  <si>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</si>
  <si>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</si>
  <si>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</si>
  <si>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</si>
  <si>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</si>
  <si>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</si>
  <si>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</si>
  <si>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</si>
  <si>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</si>
  <si>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</si>
  <si>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</si>
  <si>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</si>
  <si>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</si>
  <si>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</si>
  <si>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</si>
  <si>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</si>
  <si>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</si>
  <si>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</si>
  <si>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</si>
  <si>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</si>
  <si>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</si>
  <si>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</si>
  <si>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</si>
  <si>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</si>
  <si>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</si>
  <si>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</si>
  <si>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</si>
  <si>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</si>
  <si>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</si>
  <si>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</si>
  <si>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</si>
  <si>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</si>
  <si>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</si>
  <si>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</si>
  <si>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</si>
  <si>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</si>
  <si>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</si>
  <si>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</si>
  <si>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</si>
  <si>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</si>
  <si>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</si>
  <si>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</si>
  <si>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</si>
  <si>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</si>
  <si>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</si>
  <si>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</si>
  <si>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</si>
  <si>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</si>
  <si>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</si>
  <si>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</si>
  <si>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</si>
  <si>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</si>
  <si>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</si>
  <si>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</si>
  <si>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</si>
  <si>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</si>
  <si>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</si>
  <si>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</si>
  <si>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</si>
  <si>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</si>
  <si>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</si>
  <si>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</si>
  <si>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</si>
  <si>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</si>
  <si>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</si>
  <si>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</si>
  <si>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</si>
  <si>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</si>
  <si>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</si>
  <si>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</si>
  <si>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</si>
  <si>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</si>
  <si>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</si>
  <si>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</si>
  <si>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</si>
  <si>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</si>
  <si>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</si>
  <si>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</si>
  <si>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</si>
  <si>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</si>
  <si>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</si>
  <si>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</si>
  <si>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</si>
  <si>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</si>
  <si>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</si>
  <si>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</si>
  <si>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</si>
  <si>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</si>
  <si>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</si>
  <si>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</si>
  <si>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</si>
  <si>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</si>
  <si>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</si>
  <si>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</si>
  <si>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</si>
  <si>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</si>
  <si>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</si>
  <si>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</si>
  <si>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</si>
  <si>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</si>
  <si>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</si>
  <si>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</si>
  <si>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</si>
  <si>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</si>
  <si>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</si>
  <si>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</si>
  <si>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</si>
  <si>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</si>
  <si>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</si>
  <si>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</si>
  <si>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</si>
  <si>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</si>
  <si>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</si>
  <si>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</si>
  <si>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</si>
  <si>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</si>
  <si>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</si>
  <si>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</si>
  <si>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</si>
  <si>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</si>
  <si>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</si>
  <si>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</si>
  <si>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</si>
  <si>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</si>
  <si>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</si>
  <si>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</si>
  <si>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</si>
  <si>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</si>
  <si>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</si>
  <si>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</si>
  <si>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</si>
  <si>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</si>
  <si>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</si>
  <si>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</si>
  <si>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</si>
  <si>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</si>
  <si>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</si>
  <si>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</si>
  <si>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</si>
  <si>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</si>
  <si>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</si>
  <si>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</si>
  <si>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</si>
  <si>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</si>
  <si>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</si>
  <si>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</si>
  <si>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</si>
  <si>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</si>
  <si>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</si>
  <si>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</si>
  <si>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</si>
  <si>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</si>
  <si>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</si>
  <si>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</si>
  <si>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</si>
  <si>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</si>
  <si>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</si>
  <si>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</si>
  <si>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</si>
  <si>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</si>
  <si>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</si>
  <si>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</si>
  <si>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</si>
  <si>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</si>
  <si>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</si>
  <si>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</si>
  <si>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</si>
  <si>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</si>
  <si>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</si>
  <si>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</si>
  <si>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</si>
  <si>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</si>
  <si>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</si>
  <si>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</si>
  <si>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</si>
  <si>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</si>
  <si>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</si>
  <si>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</si>
  <si>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</si>
  <si>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</si>
  <si>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</si>
  <si>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</si>
  <si>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</si>
  <si>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</si>
  <si>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</si>
  <si>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</si>
  <si>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</si>
  <si>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</si>
  <si>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</si>
  <si>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</si>
  <si>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</si>
  <si>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</si>
  <si>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</si>
  <si>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</si>
  <si>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</si>
  <si>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</si>
  <si>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</si>
  <si>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</si>
  <si>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</si>
  <si>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</si>
  <si>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</si>
  <si>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</si>
  <si>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</si>
  <si>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</si>
  <si>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</si>
  <si>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</si>
  <si>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</si>
  <si>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</si>
  <si>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</si>
  <si>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</si>
  <si>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</si>
  <si>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</si>
  <si>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</si>
  <si>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</si>
  <si>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</si>
  <si>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</si>
  <si>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</si>
  <si>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</si>
  <si>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</si>
  <si>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</si>
  <si>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</si>
  <si>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</si>
  <si>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</si>
  <si>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</si>
  <si>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</si>
  <si>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</si>
  <si>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</si>
  <si>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</si>
  <si>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</si>
  <si>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</si>
  <si>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</si>
  <si>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</si>
  <si>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</si>
  <si>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</si>
  <si>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</si>
  <si>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</si>
  <si>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</si>
  <si>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</si>
  <si>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</si>
  <si>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</si>
  <si>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</si>
  <si>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</si>
  <si>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</si>
  <si>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</si>
  <si>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</si>
  <si>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</si>
  <si>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</si>
  <si>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</si>
  <si>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</si>
  <si>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</si>
  <si>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</si>
  <si>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</si>
  <si>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</si>
  <si>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</si>
  <si>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</si>
  <si>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</si>
  <si>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</si>
  <si>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</si>
  <si>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</si>
  <si>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</si>
  <si>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</si>
  <si>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</si>
  <si>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</si>
  <si>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</si>
  <si>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</si>
  <si>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</si>
  <si>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</si>
  <si>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</si>
  <si>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</si>
  <si>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</si>
  <si>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</si>
  <si>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</si>
  <si>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</si>
  <si>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</si>
  <si>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</si>
  <si>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</si>
  <si>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</si>
  <si>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</si>
  <si>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</si>
  <si>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</si>
  <si>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</si>
  <si>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</si>
  <si>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</si>
  <si>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</si>
  <si>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</si>
  <si>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</si>
  <si>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</si>
  <si>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</si>
  <si>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</si>
  <si>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</si>
  <si>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</si>
  <si>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</si>
  <si>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</si>
  <si>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</si>
  <si>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</si>
  <si>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</si>
  <si>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</si>
  <si>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</si>
  <si>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</si>
  <si>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</si>
  <si>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</si>
  <si>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</si>
  <si>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</si>
  <si>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</si>
  <si>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</si>
  <si>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</si>
  <si>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</si>
  <si>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</si>
  <si>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</si>
  <si>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</si>
  <si>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</si>
  <si>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</si>
  <si>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</si>
  <si>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</si>
  <si>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</si>
  <si>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</si>
  <si>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</si>
  <si>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</si>
  <si>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</si>
  <si>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</si>
  <si>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</si>
  <si>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</si>
  <si>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</si>
  <si>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</si>
  <si>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</si>
  <si>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</si>
  <si>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</si>
  <si>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</si>
  <si>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</si>
  <si>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</si>
  <si>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</si>
  <si>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</si>
  <si>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</si>
  <si>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</si>
  <si>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</si>
  <si>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</si>
  <si>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</si>
  <si>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</si>
  <si>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</si>
  <si>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</si>
  <si>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</si>
  <si>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</si>
  <si>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</si>
  <si>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</si>
  <si>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</si>
  <si>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</si>
  <si>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</si>
  <si>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</si>
  <si>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</si>
  <si>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</si>
  <si>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</si>
  <si>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</si>
  <si>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</si>
  <si>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</si>
  <si>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</si>
  <si>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</si>
  <si>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</si>
  <si>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</si>
  <si>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</si>
  <si>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</si>
  <si>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</si>
  <si>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</si>
  <si>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</si>
  <si>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</si>
  <si>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</si>
  <si>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</si>
  <si>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</si>
  <si>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</si>
  <si>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</si>
  <si>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</si>
  <si>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</si>
  <si>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</si>
  <si>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</si>
  <si>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</si>
  <si>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</si>
  <si>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</si>
  <si>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</si>
  <si>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</si>
  <si>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</si>
  <si>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</si>
  <si>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</si>
  <si>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</si>
  <si>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</si>
  <si>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</si>
  <si>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</si>
  <si>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</si>
  <si>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</si>
  <si>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</si>
  <si>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</si>
  <si>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</si>
  <si>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</si>
  <si>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</si>
  <si>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</si>
  <si>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</si>
  <si>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</si>
  <si>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</si>
  <si>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</si>
  <si>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</si>
  <si>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</si>
  <si>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</si>
  <si>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</si>
  <si>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</si>
  <si>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</si>
  <si>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</si>
  <si>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</si>
  <si>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</si>
  <si>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</si>
  <si>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</si>
  <si>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</si>
  <si>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</si>
  <si>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</si>
  <si>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</si>
  <si>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</si>
  <si>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</si>
  <si>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</si>
  <si>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</si>
  <si>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</si>
  <si>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</si>
  <si>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</si>
  <si>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</si>
  <si>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</si>
  <si>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</si>
  <si>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</si>
  <si>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</si>
  <si>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</si>
  <si>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</si>
  <si>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</si>
  <si>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</si>
  <si>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</si>
  <si>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</si>
  <si>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</si>
  <si>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</si>
  <si>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</si>
  <si>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</si>
  <si>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</si>
  <si>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</si>
  <si>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</si>
  <si>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</si>
  <si>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</si>
  <si>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</si>
  <si>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</si>
  <si>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</si>
  <si>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</si>
  <si>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</si>
  <si>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</si>
  <si>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</si>
  <si>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</si>
  <si>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</si>
  <si>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</si>
  <si>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</si>
  <si>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</si>
  <si>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</si>
  <si>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</si>
  <si>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</si>
  <si>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</si>
  <si>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</si>
  <si>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</si>
  <si>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</si>
  <si>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</si>
  <si>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</si>
  <si>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</si>
  <si>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</si>
  <si>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</si>
  <si>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</si>
  <si>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</si>
  <si>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</si>
  <si>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</si>
  <si>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</si>
  <si>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</si>
  <si>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</si>
  <si>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</si>
  <si>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</si>
  <si>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</si>
  <si>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</si>
  <si>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</si>
  <si>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</si>
  <si>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</si>
  <si>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</si>
  <si>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</si>
  <si>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</si>
  <si>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</si>
  <si>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</si>
  <si>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</si>
  <si>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</si>
  <si>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</si>
  <si>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</si>
  <si>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</si>
  <si>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</si>
  <si>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</si>
  <si>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</si>
  <si>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</si>
  <si>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</si>
  <si>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</si>
  <si>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</si>
  <si>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</si>
  <si>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</si>
  <si>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</si>
  <si>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</si>
  <si>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</si>
  <si>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</si>
  <si>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</si>
  <si>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</si>
  <si>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</si>
  <si>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</si>
  <si>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</si>
  <si>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</si>
  <si>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</si>
  <si>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</si>
  <si>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</si>
  <si>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</si>
  <si>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</si>
  <si>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</si>
  <si>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</si>
  <si>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</si>
  <si>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</si>
  <si>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</si>
  <si>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</si>
  <si>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</si>
  <si>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</si>
  <si>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</si>
  <si>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</si>
  <si>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</si>
  <si>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</si>
  <si>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</si>
  <si>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</si>
  <si>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</si>
  <si>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</si>
  <si>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</si>
  <si>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</si>
  <si>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</si>
  <si>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</si>
  <si>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</si>
  <si>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</si>
  <si>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</si>
  <si>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</si>
  <si>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</si>
  <si>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</si>
  <si>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</si>
  <si>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</si>
  <si>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</si>
  <si>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</si>
  <si>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</si>
  <si>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</si>
  <si>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</si>
  <si>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</si>
  <si>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</si>
  <si>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</si>
  <si>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</si>
  <si>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</si>
  <si>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</si>
  <si>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</si>
  <si>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</si>
  <si>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</si>
  <si>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</si>
  <si>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</si>
  <si>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</si>
  <si>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</si>
  <si>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</si>
  <si>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</si>
  <si>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</si>
  <si>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</si>
  <si>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</si>
  <si>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</si>
  <si>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</si>
  <si>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</si>
  <si>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</si>
  <si>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</si>
  <si>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</si>
  <si>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</si>
  <si>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</si>
  <si>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</si>
  <si>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</si>
  <si>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</si>
  <si>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</si>
  <si>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</si>
  <si>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</si>
  <si>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</si>
  <si>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</si>
  <si>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</si>
  <si>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</si>
  <si>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</si>
  <si>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</si>
  <si>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</si>
  <si>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</si>
  <si>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</si>
  <si>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</si>
  <si>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</si>
  <si>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</si>
  <si>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</si>
  <si>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</si>
  <si>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</si>
  <si>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</si>
  <si>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</si>
  <si>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</si>
  <si>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</si>
  <si>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</si>
  <si>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</si>
  <si>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</si>
  <si>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</si>
  <si>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</si>
  <si>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</si>
  <si>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</si>
  <si>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</si>
  <si>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</si>
  <si>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</si>
  <si>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</si>
  <si>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</si>
  <si>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</si>
  <si>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</si>
  <si>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</si>
  <si>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</si>
  <si>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</si>
  <si>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</si>
  <si>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</si>
  <si>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</si>
  <si>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</si>
  <si>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</si>
  <si>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</si>
  <si>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</si>
  <si>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</si>
  <si>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</si>
  <si>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</si>
  <si>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</si>
  <si>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</si>
  <si>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</si>
  <si>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</si>
  <si>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</si>
  <si>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</si>
  <si>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</si>
  <si>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</si>
  <si>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</si>
  <si>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</si>
  <si>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</si>
  <si>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</si>
  <si>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</si>
  <si>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</si>
  <si>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</si>
  <si>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</si>
  <si>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</si>
  <si>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</si>
  <si>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</si>
  <si>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</si>
  <si>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</si>
  <si>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</si>
  <si>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</si>
  <si>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</si>
  <si>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</si>
  <si>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</si>
  <si>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</si>
  <si>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</si>
  <si>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</si>
  <si>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</si>
  <si>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</si>
  <si>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</si>
  <si>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</si>
  <si>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</si>
  <si>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</si>
  <si>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</si>
  <si>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</si>
  <si>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</si>
  <si>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</si>
  <si>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</si>
  <si>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</si>
  <si>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</si>
  <si>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</si>
  <si>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</si>
  <si>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</si>
  <si>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</si>
  <si>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</si>
  <si>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</si>
  <si>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</si>
  <si>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</si>
  <si>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</si>
  <si>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</si>
  <si>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</si>
  <si>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</si>
  <si>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</si>
  <si>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</si>
  <si>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</si>
  <si>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</si>
  <si>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</si>
  <si>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</si>
  <si>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</si>
  <si>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</si>
  <si>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</si>
  <si>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</si>
  <si>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</si>
  <si>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</si>
  <si>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</si>
  <si>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</si>
  <si>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</si>
  <si>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</si>
  <si>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</si>
  <si>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</si>
  <si>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</si>
  <si>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</si>
  <si>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</si>
  <si>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</si>
  <si>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</si>
  <si>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</si>
  <si>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</si>
  <si>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</si>
  <si>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</si>
  <si>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</si>
  <si>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</si>
  <si>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</si>
  <si>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</si>
  <si>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</si>
  <si>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</si>
  <si>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</si>
  <si>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</si>
  <si>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</si>
  <si>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</si>
  <si>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</si>
  <si>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</si>
  <si>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</si>
  <si>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</si>
  <si>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</si>
  <si>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</si>
  <si>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</si>
  <si>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</si>
  <si>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</si>
  <si>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</si>
  <si>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</si>
  <si>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</si>
  <si>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</si>
  <si>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</si>
  <si>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</si>
  <si>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</si>
  <si>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</si>
  <si>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</si>
  <si>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</si>
  <si>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</si>
  <si>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</si>
  <si>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</si>
  <si>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</si>
  <si>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</si>
  <si>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</si>
  <si>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</si>
  <si>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</si>
  <si>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</si>
  <si>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</si>
  <si>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</si>
  <si>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</si>
  <si>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</si>
  <si>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</si>
  <si>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</si>
  <si>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</si>
  <si>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</si>
  <si>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</si>
  <si>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</si>
  <si>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</si>
  <si>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</si>
  <si>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</si>
  <si>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</si>
  <si>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</si>
  <si>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</si>
  <si>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</si>
  <si>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</si>
  <si>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</si>
  <si>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</si>
  <si>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</si>
  <si>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</si>
  <si>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</si>
  <si>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</si>
  <si>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</si>
  <si>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</si>
  <si>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</si>
  <si>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</si>
  <si>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</si>
  <si>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</si>
  <si>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</si>
  <si>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</si>
  <si>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</si>
  <si>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</si>
  <si>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</si>
  <si>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</si>
  <si>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</si>
  <si>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</si>
  <si>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</si>
  <si>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</si>
  <si>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</si>
  <si>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</si>
  <si>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</si>
  <si>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</si>
  <si>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</si>
  <si>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</si>
  <si>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</si>
  <si>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</si>
  <si>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</si>
  <si>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</si>
  <si>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</si>
  <si>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</si>
  <si>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</si>
  <si>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</si>
  <si>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</si>
  <si>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</si>
  <si>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</si>
  <si>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</si>
  <si>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</si>
  <si>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</si>
  <si>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</si>
  <si>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</si>
  <si>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</si>
  <si>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</si>
  <si>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</si>
  <si>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</si>
  <si>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</si>
  <si>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</si>
  <si>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</si>
  <si>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</si>
  <si>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</si>
  <si>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</si>
  <si>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</si>
  <si>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</si>
  <si>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</si>
  <si>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</si>
  <si>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</si>
  <si>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</si>
  <si>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</si>
  <si>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</si>
  <si>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</si>
  <si>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</si>
  <si>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</si>
  <si>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</si>
  <si>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</si>
  <si>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</si>
  <si>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</si>
  <si>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</si>
  <si>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</si>
  <si>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</si>
  <si>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</si>
  <si>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</si>
  <si>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</si>
  <si>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</si>
  <si>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</si>
  <si>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</si>
  <si>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</si>
  <si>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</si>
  <si>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</si>
  <si>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</si>
  <si>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</si>
  <si>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</si>
  <si>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</si>
  <si>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</si>
  <si>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</si>
  <si>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</si>
  <si>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</si>
  <si>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</si>
  <si>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</si>
  <si>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</si>
  <si>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</si>
  <si>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</si>
  <si>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</si>
  <si>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</si>
  <si>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</si>
  <si>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</si>
  <si>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</si>
  <si>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</si>
  <si>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</si>
  <si>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</si>
  <si>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</si>
  <si>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</si>
  <si>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</si>
  <si>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</si>
  <si>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</si>
  <si>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</si>
  <si>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</si>
  <si>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</si>
  <si>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</si>
  <si>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</si>
  <si>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</si>
  <si>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</si>
  <si>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</si>
  <si>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</si>
  <si>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</si>
  <si>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</si>
  <si>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</si>
  <si>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</si>
  <si>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</si>
  <si>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</si>
  <si>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</si>
  <si>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</si>
  <si>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</si>
  <si>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</si>
  <si>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</si>
  <si>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</si>
  <si>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</si>
  <si>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</si>
  <si>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</si>
  <si>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</si>
  <si>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</si>
  <si>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</si>
  <si>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</si>
  <si>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</si>
  <si>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</si>
  <si>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</si>
  <si>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</si>
  <si>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</si>
  <si>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</si>
  <si>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</si>
  <si>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</si>
  <si>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</si>
  <si>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</si>
  <si>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</si>
  <si>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</si>
  <si>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</si>
  <si>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</si>
  <si>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</si>
  <si>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</si>
  <si>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</si>
  <si>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</si>
  <si>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</si>
  <si>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</si>
  <si>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</si>
  <si>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</si>
  <si>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</si>
  <si>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</si>
  <si>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</si>
  <si>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</si>
  <si>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</si>
  <si>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</si>
  <si>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</si>
  <si>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</si>
  <si>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</si>
  <si>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</si>
  <si>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</si>
  <si>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</si>
  <si>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</si>
  <si>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</si>
  <si>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</si>
  <si>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</si>
  <si>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</si>
  <si>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</si>
  <si>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</si>
  <si>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</si>
  <si>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</si>
  <si>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</si>
  <si>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</si>
  <si>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</si>
  <si>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</si>
  <si>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</si>
  <si>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</si>
  <si>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</si>
  <si>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</si>
  <si>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</si>
  <si>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</si>
  <si>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</si>
  <si>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</si>
  <si>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</si>
  <si>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</si>
  <si>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</si>
  <si>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</si>
  <si>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</si>
  <si>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</si>
  <si>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</si>
  <si>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</si>
  <si>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</si>
  <si>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</si>
  <si>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</si>
  <si>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</si>
  <si>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</si>
  <si>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</si>
  <si>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</si>
  <si>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</si>
  <si>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</si>
  <si>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</si>
  <si>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</si>
  <si>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</si>
  <si>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</si>
  <si>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</si>
  <si>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</si>
  <si>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</si>
  <si>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</si>
  <si>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</si>
  <si>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</si>
  <si>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</si>
  <si>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</si>
  <si>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</si>
  <si>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</si>
  <si>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</si>
  <si>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</si>
  <si>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</si>
  <si>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</si>
  <si>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</si>
  <si>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</si>
  <si>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</si>
  <si>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</si>
  <si>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</si>
  <si>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</si>
  <si>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</si>
  <si>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</si>
  <si>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</si>
  <si>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</si>
  <si>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</si>
  <si>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</si>
  <si>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</si>
  <si>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</si>
  <si>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</si>
  <si>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</si>
  <si>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</si>
  <si>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</si>
  <si>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</si>
  <si>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</si>
  <si>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</si>
  <si>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</si>
  <si>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</si>
  <si>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</si>
  <si>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</si>
  <si>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</si>
  <si>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</si>
  <si>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</si>
  <si>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</si>
  <si>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</si>
  <si>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</si>
  <si>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</si>
  <si>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</si>
  <si>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</si>
  <si>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</si>
  <si>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</si>
  <si>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</si>
  <si>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</si>
  <si>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</si>
  <si>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</si>
  <si>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</si>
  <si>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</si>
  <si>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</si>
  <si>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</si>
  <si>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</si>
  <si>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</si>
  <si>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</si>
  <si>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</si>
  <si>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</si>
  <si>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</si>
  <si>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</si>
  <si>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</si>
  <si>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</si>
  <si>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</si>
  <si>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</si>
  <si>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</si>
  <si>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</si>
  <si>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</si>
  <si>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</si>
  <si>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</si>
  <si>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</si>
  <si>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</si>
  <si>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</si>
  <si>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</si>
  <si>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</si>
  <si>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</si>
  <si>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</si>
  <si>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</si>
  <si>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</si>
  <si>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</si>
  <si>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</si>
  <si>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</si>
  <si>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</si>
  <si>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</si>
  <si>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</si>
  <si>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</si>
  <si>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</si>
  <si>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</si>
  <si>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</si>
  <si>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</si>
  <si>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</si>
  <si>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</si>
  <si>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</si>
  <si>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</si>
  <si>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</si>
  <si>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</si>
  <si>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</si>
  <si>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</si>
  <si>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</si>
  <si>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</si>
  <si>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</si>
  <si>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</si>
  <si>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</si>
  <si>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</si>
  <si>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</si>
  <si>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</si>
  <si>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</si>
  <si>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</si>
  <si>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</si>
  <si>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</si>
  <si>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</si>
  <si>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</si>
  <si>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</si>
  <si>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</si>
  <si>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</si>
  <si>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</si>
  <si>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</si>
  <si>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</si>
  <si>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</si>
  <si>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</si>
  <si>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</si>
  <si>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</si>
  <si>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</si>
  <si>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</si>
  <si>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</si>
  <si>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</si>
  <si>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</si>
  <si>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</si>
  <si>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</si>
  <si>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</si>
  <si>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</si>
  <si>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</si>
  <si>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</si>
  <si>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</si>
  <si>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</si>
  <si>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</si>
  <si>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</si>
  <si>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</si>
  <si>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</si>
  <si>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</si>
  <si>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</si>
  <si>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</si>
  <si>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</si>
  <si>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</si>
  <si>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</si>
  <si>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</si>
  <si>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</si>
  <si>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</si>
  <si>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</si>
  <si>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</si>
  <si>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</si>
  <si>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</si>
  <si>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</si>
  <si>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</si>
  <si>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</si>
  <si>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</si>
  <si>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</si>
  <si>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</si>
  <si>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</si>
  <si>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</si>
  <si>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</si>
  <si>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</si>
  <si>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</si>
  <si>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</si>
  <si>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</si>
  <si>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</si>
  <si>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</si>
  <si>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</si>
  <si>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</si>
  <si>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</si>
  <si>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</si>
  <si>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</si>
  <si>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</si>
  <si>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</si>
  <si>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</si>
  <si>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</si>
  <si>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</si>
  <si>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</si>
  <si>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</si>
  <si>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</si>
  <si>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</si>
  <si>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</si>
  <si>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</si>
  <si>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</si>
  <si>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</si>
  <si>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</si>
  <si>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</si>
  <si>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</si>
  <si>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</si>
  <si>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</si>
  <si>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</si>
  <si>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</si>
  <si>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</si>
  <si>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</si>
  <si>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</si>
  <si>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</si>
  <si>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</si>
  <si>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</si>
  <si>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</si>
  <si>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</si>
  <si>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</si>
  <si>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</si>
  <si>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</si>
  <si>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</si>
  <si>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</si>
  <si>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</si>
  <si>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</si>
  <si>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</si>
  <si>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</si>
  <si>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</si>
  <si>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</si>
  <si>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</si>
  <si>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</si>
  <si>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</si>
  <si>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</si>
  <si>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</si>
  <si>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</si>
  <si>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</si>
  <si>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</si>
  <si>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</si>
  <si>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</si>
  <si>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</si>
  <si>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</si>
  <si>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</si>
  <si>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</si>
  <si>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</si>
  <si>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</si>
  <si>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</si>
  <si>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</si>
  <si>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</si>
  <si>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</si>
  <si>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</si>
  <si>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</si>
  <si>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</si>
  <si>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</si>
  <si>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</si>
  <si>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</si>
  <si>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</si>
  <si>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</si>
  <si>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</si>
  <si>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</si>
  <si>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</si>
  <si>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</si>
  <si>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</si>
  <si>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</si>
  <si>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</si>
  <si>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</si>
  <si>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</si>
  <si>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</si>
  <si>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</si>
  <si>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</si>
  <si>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</si>
  <si>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</si>
  <si>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</si>
  <si>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</si>
  <si>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</si>
  <si>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</si>
  <si>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</si>
  <si>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</si>
  <si>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</si>
  <si>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</si>
  <si>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</si>
  <si>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</si>
  <si>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</si>
  <si>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</si>
  <si>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</si>
  <si>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</si>
  <si>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</si>
  <si>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</si>
  <si>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</si>
  <si>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</si>
  <si>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</si>
  <si>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</si>
  <si>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</si>
  <si>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</si>
  <si>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</si>
  <si>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</si>
  <si>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</si>
  <si>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</si>
  <si>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</si>
  <si>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</si>
  <si>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</si>
  <si>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</si>
  <si>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</si>
  <si>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</si>
  <si>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</si>
  <si>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</si>
  <si>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</si>
  <si>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</si>
  <si>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</si>
  <si>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</si>
  <si>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</si>
  <si>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</si>
  <si>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</si>
  <si>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</si>
  <si>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</si>
  <si>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</si>
  <si>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</si>
  <si>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</si>
  <si>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</si>
  <si>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</si>
  <si>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</si>
  <si>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</si>
  <si>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</si>
  <si>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</si>
  <si>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</si>
  <si>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</si>
  <si>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</si>
  <si>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</si>
  <si>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</si>
  <si>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</si>
  <si>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</si>
  <si>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</si>
  <si>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</si>
  <si>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</si>
  <si>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</si>
  <si>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</si>
  <si>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</si>
  <si>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</si>
  <si>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</si>
  <si>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</si>
  <si>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</si>
  <si>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</si>
  <si>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</si>
  <si>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</si>
  <si>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</si>
  <si>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</si>
  <si>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</si>
  <si>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</si>
  <si>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</si>
  <si>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</si>
  <si>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</si>
  <si>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</si>
  <si>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</si>
  <si>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</si>
  <si>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</si>
  <si>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</si>
  <si>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</si>
  <si>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</si>
  <si>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</si>
  <si>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</si>
  <si>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</si>
  <si>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</si>
  <si>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</si>
  <si>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</si>
  <si>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</si>
  <si>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</si>
  <si>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</si>
  <si>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</si>
  <si>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</si>
  <si>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</si>
  <si>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</si>
  <si>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</si>
  <si>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</si>
  <si>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</si>
  <si>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</si>
  <si>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</si>
  <si>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</si>
  <si>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</si>
  <si>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</si>
  <si>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</si>
  <si>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</si>
  <si>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</si>
  <si>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</si>
  <si>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</si>
  <si>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</si>
  <si>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</si>
  <si>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</si>
  <si>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</si>
  <si>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</si>
  <si>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</si>
  <si>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</si>
  <si>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</si>
  <si>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</si>
  <si>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</si>
  <si>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</si>
  <si>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</si>
  <si>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</si>
  <si>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</si>
  <si>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</si>
  <si>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</si>
  <si>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</si>
  <si>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</si>
  <si>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</si>
  <si>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</si>
  <si>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</si>
  <si>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</si>
  <si>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</si>
  <si>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</si>
  <si>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</si>
  <si>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</si>
  <si>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</si>
  <si>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</si>
  <si>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</si>
  <si>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</si>
  <si>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</si>
  <si>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</si>
  <si>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</si>
  <si>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</si>
  <si>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</si>
  <si>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</si>
  <si>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</si>
  <si>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</si>
  <si>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</si>
  <si>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</si>
  <si>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</si>
  <si>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</si>
  <si>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</si>
  <si>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</si>
  <si>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</si>
  <si>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</si>
  <si>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</si>
  <si>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</si>
  <si>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</si>
  <si>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</si>
  <si>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</si>
  <si>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</si>
  <si>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</si>
  <si>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</si>
  <si>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</si>
  <si>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</si>
  <si>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</si>
  <si>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</si>
  <si>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</si>
  <si>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</si>
  <si>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</si>
  <si>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</si>
  <si>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</si>
  <si>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</si>
  <si>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</si>
  <si>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</si>
  <si>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</si>
  <si>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</si>
  <si>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</si>
  <si>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</si>
  <si>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</si>
  <si>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</si>
  <si>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</si>
  <si>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</si>
  <si>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</si>
  <si>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</si>
  <si>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</si>
  <si>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</si>
  <si>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</si>
  <si>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</si>
  <si>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</si>
  <si>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</si>
  <si>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</si>
  <si>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</si>
  <si>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</si>
  <si>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</si>
  <si>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</si>
  <si>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</si>
  <si>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</si>
  <si>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</si>
  <si>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</si>
  <si>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</si>
  <si>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</si>
  <si>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</si>
  <si>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</si>
  <si>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</si>
  <si>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</si>
  <si>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</si>
  <si>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</si>
  <si>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</si>
  <si>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</si>
  <si>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</si>
  <si>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</si>
  <si>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</si>
  <si>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</si>
  <si>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</si>
  <si>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</si>
  <si>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</si>
  <si>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</si>
  <si>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</si>
  <si>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</si>
  <si>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</si>
  <si>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</si>
  <si>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</si>
  <si>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</si>
  <si>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</si>
  <si>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</si>
  <si>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</si>
  <si>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</si>
  <si>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</si>
  <si>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</si>
  <si>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</si>
  <si>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</si>
  <si>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</si>
  <si>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</si>
  <si>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</si>
  <si>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</si>
  <si>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</si>
  <si>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</si>
  <si>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</si>
  <si>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</si>
  <si>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</si>
  <si>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</si>
  <si>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</si>
  <si>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</si>
  <si>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</si>
  <si>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</si>
  <si>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</si>
  <si>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</si>
  <si>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</si>
  <si>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</si>
  <si>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</si>
  <si>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</si>
  <si>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</si>
  <si>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</si>
  <si>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</si>
  <si>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</si>
  <si>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</si>
  <si>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</si>
  <si>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</si>
  <si>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</si>
  <si>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</si>
  <si>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</si>
  <si>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</si>
  <si>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</si>
  <si>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</si>
  <si>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</si>
  <si>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</si>
  <si>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</si>
  <si>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</si>
  <si>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</si>
  <si>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</si>
  <si>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</si>
  <si>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</si>
  <si>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</si>
  <si>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</si>
  <si>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</si>
  <si>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</si>
  <si>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</si>
  <si>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</si>
  <si>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</si>
  <si>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</si>
  <si>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</si>
  <si>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</si>
  <si>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</si>
  <si>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</si>
  <si>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</si>
  <si>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</si>
  <si>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</si>
  <si>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</si>
  <si>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</si>
  <si>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</si>
  <si>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</si>
  <si>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</si>
  <si>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</si>
  <si>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</si>
  <si>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</si>
  <si>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</si>
  <si>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</si>
  <si>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</si>
  <si>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</si>
  <si>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</si>
  <si>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</si>
  <si>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</si>
  <si>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</si>
  <si>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</si>
  <si>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</si>
  <si>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</si>
  <si>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</si>
  <si>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</si>
  <si>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</si>
  <si>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</si>
  <si>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</si>
  <si>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</si>
  <si>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</si>
  <si>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</si>
  <si>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</si>
  <si>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</si>
  <si>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</si>
  <si>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</si>
  <si>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</si>
  <si>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</si>
  <si>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</si>
  <si>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</si>
  <si>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</si>
  <si>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</si>
  <si>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</si>
  <si>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</si>
  <si>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</si>
  <si>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</si>
  <si>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</si>
  <si>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</si>
  <si>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</si>
  <si>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</si>
  <si>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</si>
  <si>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</si>
  <si>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</si>
  <si>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</si>
  <si>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</si>
  <si>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</si>
  <si>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</si>
  <si>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</si>
  <si>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</si>
  <si>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</si>
  <si>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</si>
  <si>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</si>
  <si>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</si>
  <si>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</si>
  <si>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</si>
  <si>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</si>
  <si>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</si>
  <si>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</si>
  <si>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</si>
  <si>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</si>
  <si>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</si>
  <si>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</si>
  <si>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</si>
  <si>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</si>
  <si>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</si>
  <si>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</si>
  <si>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</si>
  <si>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</si>
  <si>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</si>
  <si>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</si>
  <si>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</si>
  <si>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</si>
  <si>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</si>
  <si>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</si>
  <si>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</si>
  <si>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</si>
  <si>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</si>
  <si>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</si>
  <si>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</si>
  <si>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</si>
  <si>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</si>
  <si>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</si>
  <si>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</si>
  <si>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</si>
  <si>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</si>
  <si>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</si>
  <si>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</si>
  <si>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</si>
  <si>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</si>
  <si>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</si>
  <si>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</si>
  <si>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</si>
  <si>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</si>
  <si>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</si>
  <si>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</si>
  <si>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</si>
  <si>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</si>
  <si>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</si>
  <si>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</si>
  <si>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</si>
  <si>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</si>
  <si>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</si>
  <si>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</si>
  <si>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</si>
  <si>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</si>
  <si>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</si>
  <si>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</si>
  <si>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</si>
  <si>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</si>
  <si>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</si>
  <si>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</si>
  <si>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</si>
  <si>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</si>
  <si>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</si>
  <si>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</si>
  <si>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</si>
  <si>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</si>
  <si>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</si>
  <si>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</si>
  <si>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</si>
  <si>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</si>
  <si>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</si>
  <si>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</si>
  <si>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</si>
  <si>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</si>
  <si>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</si>
  <si>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</si>
  <si>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</si>
  <si>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</si>
  <si>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</si>
  <si>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</si>
  <si>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</si>
  <si>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</si>
  <si>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</si>
  <si>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</si>
  <si>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</si>
  <si>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</si>
  <si>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</si>
  <si>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</si>
  <si>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</si>
  <si>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</si>
  <si>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</si>
  <si>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</si>
  <si>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</si>
  <si>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</si>
  <si>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</si>
  <si>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</si>
  <si>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</si>
  <si>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</si>
  <si>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</si>
  <si>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</si>
  <si>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</si>
  <si>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</si>
  <si>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</si>
  <si>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</si>
  <si>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</si>
  <si>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</si>
  <si>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</si>
  <si>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</si>
  <si>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</si>
  <si>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</si>
  <si>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</si>
  <si>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</si>
  <si>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</si>
  <si>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</si>
  <si>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</si>
  <si>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</si>
  <si>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</si>
  <si>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</si>
  <si>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</si>
  <si>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</si>
  <si>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</si>
  <si>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</si>
  <si>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</si>
  <si>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</si>
  <si>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</si>
  <si>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</si>
  <si>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</si>
  <si>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</si>
  <si>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</si>
  <si>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</si>
  <si>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</si>
  <si>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</si>
  <si>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</si>
  <si>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</si>
  <si>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</si>
  <si>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</si>
  <si>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</si>
  <si>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</si>
  <si>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</si>
  <si>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</si>
  <si>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</si>
  <si>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</si>
  <si>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</si>
  <si>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</si>
  <si>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</si>
  <si>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</si>
  <si>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</si>
  <si>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</si>
  <si>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</si>
  <si>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</si>
  <si>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</si>
  <si>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</si>
  <si>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</si>
  <si>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</si>
  <si>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</si>
  <si>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</si>
  <si>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</si>
  <si>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</si>
  <si>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</si>
  <si>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</si>
  <si>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</si>
  <si>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</si>
  <si>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</si>
  <si>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</si>
  <si>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</si>
  <si>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</si>
  <si>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</si>
  <si>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</si>
  <si>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</si>
  <si>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</si>
  <si>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</si>
  <si>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</si>
  <si>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</si>
  <si>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</si>
  <si>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</si>
  <si>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</si>
  <si>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</si>
  <si>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</si>
  <si>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</si>
  <si>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</si>
  <si>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</si>
  <si>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</si>
  <si>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</si>
  <si>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</si>
  <si>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</si>
  <si>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</si>
  <si>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</si>
  <si>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</si>
  <si>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</si>
  <si>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</si>
  <si>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</si>
  <si>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</si>
  <si>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</si>
  <si>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</si>
  <si>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</si>
  <si>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</si>
  <si>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</si>
  <si>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</si>
  <si>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</si>
  <si>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</si>
  <si>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</si>
  <si>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</si>
  <si>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</si>
  <si>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</si>
  <si>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</si>
  <si>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</si>
  <si>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</si>
  <si>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</si>
  <si>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</si>
  <si>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</si>
  <si>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</si>
  <si>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</si>
  <si>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</si>
  <si>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</si>
  <si>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</si>
  <si>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</si>
  <si>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</si>
  <si>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</si>
  <si>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</si>
  <si>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</si>
  <si>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</si>
  <si>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</si>
  <si>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</si>
  <si>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</si>
  <si>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</si>
  <si>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</si>
  <si>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</si>
  <si>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</si>
  <si>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</si>
  <si>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</si>
  <si>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</si>
  <si>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</si>
  <si>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</si>
  <si>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</si>
  <si>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</si>
  <si>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</si>
  <si>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</si>
  <si>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</si>
  <si>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</si>
  <si>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</si>
  <si>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</si>
  <si>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</si>
  <si>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</si>
  <si>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</si>
  <si>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</si>
  <si>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</si>
  <si>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</si>
  <si>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</si>
  <si>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</si>
  <si>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</si>
  <si>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</si>
  <si>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</si>
  <si>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</si>
  <si>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</si>
  <si>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</si>
  <si>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</si>
  <si>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</si>
  <si>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</si>
  <si>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</si>
  <si>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</si>
  <si>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</si>
  <si>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</si>
  <si>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</si>
  <si>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</si>
  <si>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</si>
  <si>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</si>
  <si>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</si>
  <si>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</si>
  <si>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</si>
  <si>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</si>
  <si>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</si>
  <si>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</si>
  <si>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</si>
  <si>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</si>
  <si>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</si>
  <si>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</si>
  <si>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</si>
  <si>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</si>
  <si>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</si>
  <si>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</si>
  <si>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</si>
  <si>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</si>
  <si>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</si>
  <si>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</si>
  <si>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</si>
  <si>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</si>
  <si>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</si>
  <si>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</si>
  <si>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</si>
  <si>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</si>
  <si>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</si>
  <si>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</si>
  <si>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</si>
  <si>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</si>
  <si>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</si>
  <si>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</si>
  <si>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</si>
  <si>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</si>
  <si>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</si>
  <si>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</si>
  <si>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</si>
  <si>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</si>
  <si>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</si>
  <si>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</si>
  <si>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</si>
  <si>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</si>
  <si>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</si>
  <si>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</si>
  <si>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</si>
  <si>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</si>
  <si>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</si>
  <si>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</si>
  <si>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</si>
  <si>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</si>
  <si>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</si>
  <si>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</si>
  <si>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</si>
  <si>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</si>
  <si>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</si>
  <si>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</si>
  <si>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</si>
  <si>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</si>
  <si>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</si>
  <si>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</si>
  <si>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</si>
  <si>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</si>
  <si>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</si>
  <si>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</si>
  <si>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</si>
  <si>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</si>
  <si>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</si>
  <si>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</si>
  <si>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</si>
  <si>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</si>
  <si>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</si>
  <si>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</si>
  <si>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</si>
  <si>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</si>
  <si>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</si>
  <si>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</si>
  <si>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</si>
  <si>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</si>
  <si>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</si>
  <si>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</si>
  <si>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</si>
  <si>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</si>
  <si>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</si>
  <si>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</si>
  <si>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</si>
  <si>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</si>
  <si>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</si>
  <si>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</si>
  <si>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</si>
  <si>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</si>
  <si>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</si>
  <si>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</si>
  <si>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</si>
  <si>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</si>
  <si>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</si>
  <si>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</si>
  <si>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</si>
  <si>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</si>
  <si>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</si>
  <si>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</si>
  <si>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</si>
  <si>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</si>
  <si>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</si>
  <si>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</si>
  <si>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</si>
  <si>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</si>
  <si>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</si>
  <si>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</si>
  <si>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</si>
  <si>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</si>
  <si>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</si>
  <si>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</si>
  <si>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</si>
  <si>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</si>
  <si>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</si>
  <si>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</si>
  <si>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</si>
  <si>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</si>
  <si>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</si>
  <si>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</si>
  <si>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</si>
  <si>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</si>
  <si>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</si>
  <si>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</si>
  <si>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</si>
  <si>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</si>
  <si>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</si>
  <si>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</si>
  <si>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</si>
  <si>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</si>
  <si>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</si>
  <si>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</si>
  <si>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</si>
  <si>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</si>
  <si>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</si>
  <si>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</si>
  <si>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</si>
  <si>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</si>
  <si>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</si>
  <si>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</si>
  <si>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</si>
  <si>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</si>
  <si>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</si>
  <si>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</si>
  <si>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</si>
  <si>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</si>
  <si>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</si>
  <si>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</si>
  <si>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</si>
  <si>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</si>
  <si>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</si>
  <si>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</si>
  <si>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</si>
  <si>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</si>
  <si>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</si>
  <si>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</si>
  <si>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</si>
  <si>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</si>
  <si>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</si>
  <si>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</si>
  <si>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</si>
  <si>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</si>
  <si>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</si>
  <si>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</si>
  <si>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</si>
  <si>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</si>
  <si>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</si>
  <si>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</si>
  <si>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</si>
  <si>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</si>
  <si>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</si>
  <si>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</si>
  <si>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</si>
  <si>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</si>
  <si>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</si>
  <si>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</si>
  <si>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</si>
  <si>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</si>
  <si>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</si>
  <si>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</si>
  <si>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</si>
  <si>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</si>
  <si>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</si>
  <si>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</si>
  <si>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</si>
  <si>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</si>
  <si>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</si>
  <si>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</si>
  <si>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</si>
  <si>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</si>
  <si>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</si>
  <si>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</si>
  <si>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</si>
  <si>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</si>
  <si>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</si>
  <si>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</si>
  <si>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</si>
  <si>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</si>
  <si>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</si>
  <si>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</si>
  <si>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</si>
  <si>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</si>
  <si>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</si>
  <si>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</si>
  <si>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</si>
  <si>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</si>
  <si>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</si>
  <si>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</si>
  <si>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</si>
  <si>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</si>
  <si>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</si>
  <si>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</si>
  <si>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</si>
  <si>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</si>
  <si>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</si>
  <si>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</si>
  <si>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</si>
  <si>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</si>
  <si>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</si>
  <si>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</si>
  <si>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</si>
  <si>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</si>
  <si>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</si>
  <si>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</si>
  <si>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</si>
  <si>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</si>
  <si>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</si>
  <si>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</si>
  <si>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</si>
  <si>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</si>
  <si>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</si>
  <si>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</si>
  <si>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</si>
  <si>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</si>
  <si>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</si>
  <si>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</si>
  <si>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</si>
  <si>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</si>
  <si>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</si>
  <si>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</si>
  <si>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</si>
  <si>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</si>
  <si>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</si>
  <si>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</si>
  <si>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</si>
  <si>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</si>
  <si>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</si>
  <si>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</si>
  <si>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</si>
  <si>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Values for Display</t>
  </si>
  <si>
    <t>Orders</t>
  </si>
  <si>
    <t>Avg. Rating</t>
  </si>
  <si>
    <t>Avg.Days</t>
  </si>
  <si>
    <t>For Trends</t>
  </si>
  <si>
    <t>Row Labels</t>
  </si>
  <si>
    <t>Grand Total</t>
  </si>
  <si>
    <t>Column Labels</t>
  </si>
  <si>
    <t>Female</t>
  </si>
  <si>
    <t>Male</t>
  </si>
  <si>
    <t>Other</t>
  </si>
  <si>
    <t>Unknown</t>
  </si>
  <si>
    <t>For Matrix</t>
  </si>
  <si>
    <t>6 to 10</t>
  </si>
  <si>
    <t>More than 10</t>
  </si>
  <si>
    <t>Map  Chart for Quantity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</si>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</sst>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2" borderId="0" xfId="0" applyFill="1"/>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0" fontId="0" fillId="0" borderId="7" xfId="0" applyBorder="1" applyAlignment="1">
      <alignment vertical="center"/>
    </xf>
    <xf numFmtId="165" fontId="0" fillId="0" borderId="8" xfId="0" applyNumberFormat="1" applyBorder="1" applyAlignment="1">
      <alignment horizontal="center" vertical="center"/>
    </xf>
    <xf numFmtId="165" fontId="0" fillId="0" borderId="9" xfId="0" applyNumberFormat="1" applyBorder="1" applyAlignment="1">
      <alignment horizontal="center" vertical="center"/>
    </xf>
    <xf numFmtId="0" fontId="1" fillId="3" borderId="10" xfId="0" applyFont="1" applyFill="1" applyBorder="1"/>
    <xf numFmtId="0" fontId="1" fillId="0" borderId="0" xfId="0" applyFont="1"/>
    <xf numFmtId="0" fontId="1" fillId="0" borderId="10" xfId="0" applyFont="1"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Dashboard.xlsx]Pivot!PivotTrend</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872D-4040-9359-B117642E7085}"/>
            </c:ext>
          </c:extLst>
        </c:ser>
        <c:dLbls>
          <c:showLegendKey val="0"/>
          <c:showVal val="0"/>
          <c:showCatName val="0"/>
          <c:showSerName val="0"/>
          <c:showPercent val="0"/>
          <c:showBubbleSize val="0"/>
        </c:dLbls>
        <c:marker val="1"/>
        <c:smooth val="0"/>
        <c:axId val="1796878687"/>
        <c:axId val="1796862367"/>
      </c:lineChart>
      <c:lineChart>
        <c:grouping val="standard"/>
        <c:varyColors val="0"/>
        <c:ser>
          <c:idx val="1"/>
          <c:order val="1"/>
          <c:tx>
            <c:strRef>
              <c:f>Pivot!$C$11</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Pivot!$C$12:$C$25</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72D-4040-9359-B117642E7085}"/>
            </c:ext>
          </c:extLst>
        </c:ser>
        <c:dLbls>
          <c:showLegendKey val="0"/>
          <c:showVal val="0"/>
          <c:showCatName val="0"/>
          <c:showSerName val="0"/>
          <c:showPercent val="0"/>
          <c:showBubbleSize val="0"/>
        </c:dLbls>
        <c:marker val="1"/>
        <c:smooth val="0"/>
        <c:axId val="2003565615"/>
        <c:axId val="2003568015"/>
      </c:lineChart>
      <c:catAx>
        <c:axId val="17968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862367"/>
        <c:crosses val="autoZero"/>
        <c:auto val="1"/>
        <c:lblAlgn val="ctr"/>
        <c:lblOffset val="100"/>
        <c:noMultiLvlLbl val="0"/>
      </c:catAx>
      <c:valAx>
        <c:axId val="179686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878687"/>
        <c:crosses val="autoZero"/>
        <c:crossBetween val="between"/>
      </c:valAx>
      <c:valAx>
        <c:axId val="2003568015"/>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65615"/>
        <c:crosses val="max"/>
        <c:crossBetween val="between"/>
      </c:valAx>
      <c:catAx>
        <c:axId val="2003565615"/>
        <c:scaling>
          <c:orientation val="minMax"/>
        </c:scaling>
        <c:delete val="1"/>
        <c:axPos val="b"/>
        <c:numFmt formatCode="General" sourceLinked="1"/>
        <c:majorTickMark val="out"/>
        <c:minorTickMark val="none"/>
        <c:tickLblPos val="nextTo"/>
        <c:crossAx val="2003568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Dashboard.xlsx]Sheet2!PivotQuantity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1</c:v>
                </c:pt>
                <c:pt idx="1">
                  <c:v>2</c:v>
                </c:pt>
                <c:pt idx="2">
                  <c:v>3</c:v>
                </c:pt>
                <c:pt idx="3">
                  <c:v>4</c:v>
                </c:pt>
                <c:pt idx="4">
                  <c:v>5</c:v>
                </c:pt>
                <c:pt idx="5">
                  <c:v>6 to 10</c:v>
                </c:pt>
                <c:pt idx="6">
                  <c:v>More than 10</c:v>
                </c:pt>
              </c:strCache>
            </c:strRef>
          </c:cat>
          <c:val>
            <c:numRef>
              <c:f>Sheet2!$B$4:$B$11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707-4035-8AF5-2EACAF8E7D30}"/>
            </c:ext>
          </c:extLst>
        </c:ser>
        <c:dLbls>
          <c:dLblPos val="outEnd"/>
          <c:showLegendKey val="0"/>
          <c:showVal val="1"/>
          <c:showCatName val="0"/>
          <c:showSerName val="0"/>
          <c:showPercent val="0"/>
          <c:showBubbleSize val="0"/>
        </c:dLbls>
        <c:gapWidth val="5"/>
        <c:overlap val="-27"/>
        <c:axId val="2003552175"/>
        <c:axId val="2003552655"/>
      </c:barChart>
      <c:catAx>
        <c:axId val="20035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52655"/>
        <c:crosses val="autoZero"/>
        <c:auto val="1"/>
        <c:lblAlgn val="ctr"/>
        <c:lblOffset val="100"/>
        <c:noMultiLvlLbl val="0"/>
      </c:catAx>
      <c:valAx>
        <c:axId val="20035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5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Dashboard.xlsx]Sheet3!PivotProduct</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Female</c:v>
                </c:pt>
              </c:strCache>
            </c:strRef>
          </c:tx>
          <c:spPr>
            <a:solidFill>
              <a:schemeClr val="accent1"/>
            </a:solidFill>
            <a:ln>
              <a:noFill/>
            </a:ln>
            <a:effectLst/>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269-407E-AC1A-09829AEA07E8}"/>
            </c:ext>
          </c:extLst>
        </c:ser>
        <c:ser>
          <c:idx val="1"/>
          <c:order val="1"/>
          <c:tx>
            <c:strRef>
              <c:f>Sheet3!$C$3:$C$4</c:f>
              <c:strCache>
                <c:ptCount val="1"/>
                <c:pt idx="0">
                  <c:v>Male</c:v>
                </c:pt>
              </c:strCache>
            </c:strRef>
          </c:tx>
          <c:spPr>
            <a:solidFill>
              <a:schemeClr val="accent2"/>
            </a:solidFill>
            <a:ln>
              <a:noFill/>
            </a:ln>
            <a:effectLst/>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8CF8-44B8-BE9C-D69F76D81F68}"/>
            </c:ext>
          </c:extLst>
        </c:ser>
        <c:ser>
          <c:idx val="2"/>
          <c:order val="2"/>
          <c:tx>
            <c:strRef>
              <c:f>Sheet3!$D$3:$D$4</c:f>
              <c:strCache>
                <c:ptCount val="1"/>
                <c:pt idx="0">
                  <c:v>Other</c:v>
                </c:pt>
              </c:strCache>
            </c:strRef>
          </c:tx>
          <c:spPr>
            <a:solidFill>
              <a:schemeClr val="accent3"/>
            </a:solidFill>
            <a:ln>
              <a:noFill/>
            </a:ln>
            <a:effectLst/>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8CF8-44B8-BE9C-D69F76D81F68}"/>
            </c:ext>
          </c:extLst>
        </c:ser>
        <c:ser>
          <c:idx val="3"/>
          <c:order val="3"/>
          <c:tx>
            <c:strRef>
              <c:f>Sheet3!$E$3:$E$4</c:f>
              <c:strCache>
                <c:ptCount val="1"/>
                <c:pt idx="0">
                  <c:v>Unknown</c:v>
                </c:pt>
              </c:strCache>
            </c:strRef>
          </c:tx>
          <c:spPr>
            <a:solidFill>
              <a:schemeClr val="accent4"/>
            </a:solidFill>
            <a:ln>
              <a:noFill/>
            </a:ln>
            <a:effectLst/>
          </c:spPr>
          <c:invertIfNegative val="0"/>
          <c:cat>
            <c:strRef>
              <c:f>Sheet3!$A$5:$A$25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Sheet3!$E$5:$E$25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8CF8-44B8-BE9C-D69F76D81F68}"/>
            </c:ext>
          </c:extLst>
        </c:ser>
        <c:dLbls>
          <c:showLegendKey val="0"/>
          <c:showVal val="0"/>
          <c:showCatName val="0"/>
          <c:showSerName val="0"/>
          <c:showPercent val="0"/>
          <c:showBubbleSize val="0"/>
        </c:dLbls>
        <c:gapWidth val="25"/>
        <c:overlap val="100"/>
        <c:axId val="2003570415"/>
        <c:axId val="2003570895"/>
      </c:barChart>
      <c:catAx>
        <c:axId val="200357041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70895"/>
        <c:crosses val="autoZero"/>
        <c:auto val="1"/>
        <c:lblAlgn val="ctr"/>
        <c:lblOffset val="100"/>
        <c:noMultiLvlLbl val="0"/>
      </c:catAx>
      <c:valAx>
        <c:axId val="200357089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Dashboard.xlsx]Sheet3!PivotGender</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4065325167687365"/>
              <c:y val="0.23296388223211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97387336386872"/>
                  <c:h val="0.42518115942028983"/>
                </c:manualLayout>
              </c15:layout>
            </c:ext>
          </c:extLst>
        </c:dLbl>
      </c:pivotFmt>
      <c:pivotFmt>
        <c:idx val="8"/>
        <c:spPr>
          <a:solidFill>
            <a:schemeClr val="accent1"/>
          </a:solidFill>
          <a:ln w="19050">
            <a:solidFill>
              <a:schemeClr val="lt1"/>
            </a:solidFill>
          </a:ln>
          <a:effectLst/>
        </c:spPr>
        <c:dLbl>
          <c:idx val="0"/>
          <c:layout>
            <c:manualLayout>
              <c:x val="-0.17602721931332188"/>
              <c:y val="0.291282594431130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502704952143153"/>
                  <c:h val="0.409893590887346"/>
                </c:manualLayout>
              </c15:layout>
            </c:ext>
          </c:extLst>
        </c:dLbl>
      </c:pivotFmt>
      <c:pivotFmt>
        <c:idx val="9"/>
        <c:spPr>
          <a:solidFill>
            <a:schemeClr val="accent1"/>
          </a:solidFill>
          <a:ln w="19050">
            <a:solidFill>
              <a:schemeClr val="lt1"/>
            </a:solidFill>
          </a:ln>
          <a:effectLst/>
        </c:spPr>
        <c:dLbl>
          <c:idx val="0"/>
          <c:layout>
            <c:manualLayout>
              <c:x val="-0.24492086014628883"/>
              <c:y val="-0.125271739130434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959017377729742"/>
                  <c:h val="0.35000213967819238"/>
                </c:manualLayout>
              </c15:layout>
            </c:ext>
          </c:extLst>
        </c:dLbl>
      </c:pivotFmt>
      <c:pivotFmt>
        <c:idx val="10"/>
        <c:spPr>
          <a:solidFill>
            <a:schemeClr val="accent1"/>
          </a:solidFill>
          <a:ln w="19050">
            <a:solidFill>
              <a:schemeClr val="lt1"/>
            </a:solidFill>
          </a:ln>
          <a:effectLst/>
        </c:spPr>
        <c:dLbl>
          <c:idx val="0"/>
          <c:layout>
            <c:manualLayout>
              <c:x val="0.39212197505935242"/>
              <c:y val="-6.1018717300517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6657574665911852"/>
                  <c:h val="0.35353760127810113"/>
                </c:manualLayout>
              </c15:layout>
            </c:ext>
          </c:extLst>
        </c:dLbl>
      </c:pivotFmt>
    </c:pivotFmts>
    <c:plotArea>
      <c:layout>
        <c:manualLayout>
          <c:layoutTarget val="inner"/>
          <c:xMode val="edge"/>
          <c:yMode val="edge"/>
          <c:x val="0.27676898890176799"/>
          <c:y val="0.27368124500741753"/>
          <c:w val="0.37748134424373425"/>
          <c:h val="0.3923549298185553"/>
        </c:manualLayout>
      </c:layout>
      <c:doughnutChart>
        <c:varyColors val="1"/>
        <c:ser>
          <c:idx val="0"/>
          <c:order val="0"/>
          <c:tx>
            <c:strRef>
              <c:f>Sheet3!$J$3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C9-44B9-961D-2C72B59E8E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C9-44B9-961D-2C72B59E8E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C9-44B9-961D-2C72B59E8E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C9-44B9-961D-2C72B59E8E4D}"/>
              </c:ext>
            </c:extLst>
          </c:dPt>
          <c:dLbls>
            <c:dLbl>
              <c:idx val="0"/>
              <c:layout>
                <c:manualLayout>
                  <c:x val="0.24065325167687365"/>
                  <c:y val="0.23296388223211228"/>
                </c:manualLayout>
              </c:layout>
              <c:showLegendKey val="0"/>
              <c:showVal val="1"/>
              <c:showCatName val="1"/>
              <c:showSerName val="0"/>
              <c:showPercent val="1"/>
              <c:showBubbleSize val="0"/>
              <c:extLst>
                <c:ext xmlns:c15="http://schemas.microsoft.com/office/drawing/2012/chart" uri="{CE6537A1-D6FC-4f65-9D91-7224C49458BB}">
                  <c15:layout>
                    <c:manualLayout>
                      <c:w val="0.31097387336386872"/>
                      <c:h val="0.42518115942028983"/>
                    </c:manualLayout>
                  </c15:layout>
                </c:ext>
                <c:ext xmlns:c16="http://schemas.microsoft.com/office/drawing/2014/chart" uri="{C3380CC4-5D6E-409C-BE32-E72D297353CC}">
                  <c16:uniqueId val="{00000001-F2C9-44B9-961D-2C72B59E8E4D}"/>
                </c:ext>
              </c:extLst>
            </c:dLbl>
            <c:dLbl>
              <c:idx val="1"/>
              <c:layout>
                <c:manualLayout>
                  <c:x val="-0.17602721931332188"/>
                  <c:y val="0.291282594431130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502704952143153"/>
                      <c:h val="0.409893590887346"/>
                    </c:manualLayout>
                  </c15:layout>
                </c:ext>
                <c:ext xmlns:c16="http://schemas.microsoft.com/office/drawing/2014/chart" uri="{C3380CC4-5D6E-409C-BE32-E72D297353CC}">
                  <c16:uniqueId val="{00000003-F2C9-44B9-961D-2C72B59E8E4D}"/>
                </c:ext>
              </c:extLst>
            </c:dLbl>
            <c:dLbl>
              <c:idx val="2"/>
              <c:layout>
                <c:manualLayout>
                  <c:x val="-0.24492086014628883"/>
                  <c:y val="-0.125271739130434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959017377729742"/>
                      <c:h val="0.35000213967819238"/>
                    </c:manualLayout>
                  </c15:layout>
                </c:ext>
                <c:ext xmlns:c16="http://schemas.microsoft.com/office/drawing/2014/chart" uri="{C3380CC4-5D6E-409C-BE32-E72D297353CC}">
                  <c16:uniqueId val="{00000005-F2C9-44B9-961D-2C72B59E8E4D}"/>
                </c:ext>
              </c:extLst>
            </c:dLbl>
            <c:dLbl>
              <c:idx val="3"/>
              <c:layout>
                <c:manualLayout>
                  <c:x val="0.39212197505935242"/>
                  <c:y val="-6.1018717300517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6657574665911852"/>
                      <c:h val="0.35353760127810113"/>
                    </c:manualLayout>
                  </c15:layout>
                </c:ext>
                <c:ext xmlns:c16="http://schemas.microsoft.com/office/drawing/2014/chart" uri="{C3380CC4-5D6E-409C-BE32-E72D297353CC}">
                  <c16:uniqueId val="{00000007-F2C9-44B9-961D-2C72B59E8E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Sheet3!$I$4:$I$8</c:f>
              <c:strCache>
                <c:ptCount val="4"/>
                <c:pt idx="0">
                  <c:v>Female</c:v>
                </c:pt>
                <c:pt idx="1">
                  <c:v>Male</c:v>
                </c:pt>
                <c:pt idx="2">
                  <c:v>Other</c:v>
                </c:pt>
                <c:pt idx="3">
                  <c:v>Unknown</c:v>
                </c:pt>
              </c:strCache>
            </c:strRef>
          </c:cat>
          <c:val>
            <c:numRef>
              <c:f>Sheet3!$J$4:$J$8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2C9-44B9-961D-2C72B59E8E4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Dashboard.xlsx]Sheet6!PivotDuration</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535-4E26-A3EC-7044CF19E60E}"/>
            </c:ext>
          </c:extLst>
        </c:ser>
        <c:dLbls>
          <c:showLegendKey val="0"/>
          <c:showVal val="0"/>
          <c:showCatName val="0"/>
          <c:showSerName val="0"/>
          <c:showPercent val="0"/>
          <c:showBubbleSize val="0"/>
        </c:dLbls>
        <c:gapWidth val="17"/>
        <c:overlap val="-27"/>
        <c:axId val="1949398383"/>
        <c:axId val="1949414223"/>
      </c:barChart>
      <c:catAx>
        <c:axId val="194939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14223"/>
        <c:crosses val="autoZero"/>
        <c:auto val="1"/>
        <c:lblAlgn val="ctr"/>
        <c:lblOffset val="100"/>
        <c:noMultiLvlLbl val="0"/>
      </c:catAx>
      <c:valAx>
        <c:axId val="194941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Dashboard.xlsx]Sheet6!PivotRating</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Sheet6!$F$3:$F$4</c:f>
              <c:strCache>
                <c:ptCount val="1"/>
                <c:pt idx="0">
                  <c:v>1</c:v>
                </c:pt>
              </c:strCache>
            </c:strRef>
          </c:tx>
          <c:spPr>
            <a:solidFill>
              <a:schemeClr val="accent1"/>
            </a:solidFill>
            <a:ln>
              <a:noFill/>
            </a:ln>
            <a:effectLst/>
          </c:spPr>
          <c:invertIfNegative val="0"/>
          <c:cat>
            <c:strRef>
              <c:f>Sheet6!$E$5:$E$8</c:f>
              <c:strCache>
                <c:ptCount val="3"/>
                <c:pt idx="0">
                  <c:v>Jan</c:v>
                </c:pt>
                <c:pt idx="1">
                  <c:v>Feb</c:v>
                </c:pt>
                <c:pt idx="2">
                  <c:v>Mar</c:v>
                </c:pt>
              </c:strCache>
            </c:strRef>
          </c:cat>
          <c:val>
            <c:numRef>
              <c:f>Sheet6!$F$5:$F$8</c:f>
              <c:numCache>
                <c:formatCode>General</c:formatCode>
                <c:ptCount val="3"/>
                <c:pt idx="0">
                  <c:v>7</c:v>
                </c:pt>
                <c:pt idx="1">
                  <c:v>8</c:v>
                </c:pt>
                <c:pt idx="2">
                  <c:v>6</c:v>
                </c:pt>
              </c:numCache>
            </c:numRef>
          </c:val>
          <c:extLst>
            <c:ext xmlns:c16="http://schemas.microsoft.com/office/drawing/2014/chart" uri="{C3380CC4-5D6E-409C-BE32-E72D297353CC}">
              <c16:uniqueId val="{00000000-E41D-44C3-9133-1B39649F34C6}"/>
            </c:ext>
          </c:extLst>
        </c:ser>
        <c:ser>
          <c:idx val="1"/>
          <c:order val="1"/>
          <c:tx>
            <c:strRef>
              <c:f>Sheet6!$G$3:$G$4</c:f>
              <c:strCache>
                <c:ptCount val="1"/>
                <c:pt idx="0">
                  <c:v>2</c:v>
                </c:pt>
              </c:strCache>
            </c:strRef>
          </c:tx>
          <c:spPr>
            <a:solidFill>
              <a:schemeClr val="accent2"/>
            </a:solidFill>
            <a:ln>
              <a:noFill/>
            </a:ln>
            <a:effectLst/>
          </c:spPr>
          <c:invertIfNegative val="0"/>
          <c:cat>
            <c:strRef>
              <c:f>Sheet6!$E$5:$E$8</c:f>
              <c:strCache>
                <c:ptCount val="3"/>
                <c:pt idx="0">
                  <c:v>Jan</c:v>
                </c:pt>
                <c:pt idx="1">
                  <c:v>Feb</c:v>
                </c:pt>
                <c:pt idx="2">
                  <c:v>Mar</c:v>
                </c:pt>
              </c:strCache>
            </c:strRef>
          </c:cat>
          <c:val>
            <c:numRef>
              <c:f>Sheet6!$G$5:$G$8</c:f>
              <c:numCache>
                <c:formatCode>General</c:formatCode>
                <c:ptCount val="3"/>
                <c:pt idx="0">
                  <c:v>37</c:v>
                </c:pt>
                <c:pt idx="1">
                  <c:v>51</c:v>
                </c:pt>
                <c:pt idx="2">
                  <c:v>39</c:v>
                </c:pt>
              </c:numCache>
            </c:numRef>
          </c:val>
          <c:extLst>
            <c:ext xmlns:c16="http://schemas.microsoft.com/office/drawing/2014/chart" uri="{C3380CC4-5D6E-409C-BE32-E72D297353CC}">
              <c16:uniqueId val="{00000001-E41D-44C3-9133-1B39649F34C6}"/>
            </c:ext>
          </c:extLst>
        </c:ser>
        <c:ser>
          <c:idx val="2"/>
          <c:order val="2"/>
          <c:tx>
            <c:strRef>
              <c:f>Sheet6!$H$3:$H$4</c:f>
              <c:strCache>
                <c:ptCount val="1"/>
                <c:pt idx="0">
                  <c:v>3</c:v>
                </c:pt>
              </c:strCache>
            </c:strRef>
          </c:tx>
          <c:spPr>
            <a:solidFill>
              <a:schemeClr val="accent3"/>
            </a:solidFill>
            <a:ln>
              <a:noFill/>
            </a:ln>
            <a:effectLst/>
          </c:spPr>
          <c:invertIfNegative val="0"/>
          <c:cat>
            <c:strRef>
              <c:f>Sheet6!$E$5:$E$8</c:f>
              <c:strCache>
                <c:ptCount val="3"/>
                <c:pt idx="0">
                  <c:v>Jan</c:v>
                </c:pt>
                <c:pt idx="1">
                  <c:v>Feb</c:v>
                </c:pt>
                <c:pt idx="2">
                  <c:v>Mar</c:v>
                </c:pt>
              </c:strCache>
            </c:strRef>
          </c:cat>
          <c:val>
            <c:numRef>
              <c:f>Sheet6!$H$5:$H$8</c:f>
              <c:numCache>
                <c:formatCode>General</c:formatCode>
                <c:ptCount val="3"/>
                <c:pt idx="0">
                  <c:v>150</c:v>
                </c:pt>
                <c:pt idx="1">
                  <c:v>182</c:v>
                </c:pt>
                <c:pt idx="2">
                  <c:v>163</c:v>
                </c:pt>
              </c:numCache>
            </c:numRef>
          </c:val>
          <c:extLst>
            <c:ext xmlns:c16="http://schemas.microsoft.com/office/drawing/2014/chart" uri="{C3380CC4-5D6E-409C-BE32-E72D297353CC}">
              <c16:uniqueId val="{00000002-E41D-44C3-9133-1B39649F34C6}"/>
            </c:ext>
          </c:extLst>
        </c:ser>
        <c:ser>
          <c:idx val="3"/>
          <c:order val="3"/>
          <c:tx>
            <c:strRef>
              <c:f>Sheet6!$I$3:$I$4</c:f>
              <c:strCache>
                <c:ptCount val="1"/>
                <c:pt idx="0">
                  <c:v>4</c:v>
                </c:pt>
              </c:strCache>
            </c:strRef>
          </c:tx>
          <c:spPr>
            <a:solidFill>
              <a:schemeClr val="accent4"/>
            </a:solidFill>
            <a:ln>
              <a:noFill/>
            </a:ln>
            <a:effectLst/>
          </c:spPr>
          <c:invertIfNegative val="0"/>
          <c:cat>
            <c:strRef>
              <c:f>Sheet6!$E$5:$E$8</c:f>
              <c:strCache>
                <c:ptCount val="3"/>
                <c:pt idx="0">
                  <c:v>Jan</c:v>
                </c:pt>
                <c:pt idx="1">
                  <c:v>Feb</c:v>
                </c:pt>
                <c:pt idx="2">
                  <c:v>Mar</c:v>
                </c:pt>
              </c:strCache>
            </c:strRef>
          </c:cat>
          <c:val>
            <c:numRef>
              <c:f>Sheet6!$I$5:$I$8</c:f>
              <c:numCache>
                <c:formatCode>General</c:formatCode>
                <c:ptCount val="3"/>
                <c:pt idx="0">
                  <c:v>312</c:v>
                </c:pt>
                <c:pt idx="1">
                  <c:v>373</c:v>
                </c:pt>
                <c:pt idx="2">
                  <c:v>351</c:v>
                </c:pt>
              </c:numCache>
            </c:numRef>
          </c:val>
          <c:extLst>
            <c:ext xmlns:c16="http://schemas.microsoft.com/office/drawing/2014/chart" uri="{C3380CC4-5D6E-409C-BE32-E72D297353CC}">
              <c16:uniqueId val="{00000003-E41D-44C3-9133-1B39649F34C6}"/>
            </c:ext>
          </c:extLst>
        </c:ser>
        <c:ser>
          <c:idx val="4"/>
          <c:order val="4"/>
          <c:tx>
            <c:strRef>
              <c:f>Sheet6!$J$3:$J$4</c:f>
              <c:strCache>
                <c:ptCount val="1"/>
                <c:pt idx="0">
                  <c:v>5</c:v>
                </c:pt>
              </c:strCache>
            </c:strRef>
          </c:tx>
          <c:spPr>
            <a:solidFill>
              <a:schemeClr val="accent5"/>
            </a:solidFill>
            <a:ln>
              <a:noFill/>
            </a:ln>
            <a:effectLst/>
          </c:spPr>
          <c:invertIfNegative val="0"/>
          <c:cat>
            <c:strRef>
              <c:f>Sheet6!$E$5:$E$8</c:f>
              <c:strCache>
                <c:ptCount val="3"/>
                <c:pt idx="0">
                  <c:v>Jan</c:v>
                </c:pt>
                <c:pt idx="1">
                  <c:v>Feb</c:v>
                </c:pt>
                <c:pt idx="2">
                  <c:v>Mar</c:v>
                </c:pt>
              </c:strCache>
            </c:strRef>
          </c:cat>
          <c:val>
            <c:numRef>
              <c:f>Sheet6!$J$5:$J$8</c:f>
              <c:numCache>
                <c:formatCode>General</c:formatCode>
                <c:ptCount val="3"/>
                <c:pt idx="0">
                  <c:v>224</c:v>
                </c:pt>
                <c:pt idx="1">
                  <c:v>247</c:v>
                </c:pt>
                <c:pt idx="2">
                  <c:v>250</c:v>
                </c:pt>
              </c:numCache>
            </c:numRef>
          </c:val>
          <c:extLst>
            <c:ext xmlns:c16="http://schemas.microsoft.com/office/drawing/2014/chart" uri="{C3380CC4-5D6E-409C-BE32-E72D297353CC}">
              <c16:uniqueId val="{00000006-E41D-44C3-9133-1B39649F34C6}"/>
            </c:ext>
          </c:extLst>
        </c:ser>
        <c:dLbls>
          <c:showLegendKey val="0"/>
          <c:showVal val="0"/>
          <c:showCatName val="0"/>
          <c:showSerName val="0"/>
          <c:showPercent val="0"/>
          <c:showBubbleSize val="0"/>
        </c:dLbls>
        <c:gapWidth val="219"/>
        <c:overlap val="-27"/>
        <c:axId val="1949420943"/>
        <c:axId val="1949418063"/>
      </c:barChart>
      <c:catAx>
        <c:axId val="194942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18063"/>
        <c:crosses val="autoZero"/>
        <c:auto val="1"/>
        <c:lblAlgn val="ctr"/>
        <c:lblOffset val="100"/>
        <c:noMultiLvlLbl val="0"/>
      </c:catAx>
      <c:valAx>
        <c:axId val="194941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2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1B561E6-2FF8-45D3-83D4-4A25D2824479}">
          <cx:tx>
            <cx:txData>
              <cx:f>_xlchart.v5.2</cx:f>
              <cx:v>Sum of Quantity</cx:v>
            </cx:txData>
          </cx:tx>
          <cx:spPr>
            <a:ln>
              <a:solidFill>
                <a:schemeClr val="accent1"/>
              </a:solidFill>
            </a:ln>
          </cx:spPr>
          <cx:dataId val="0"/>
          <cx:layoutPr>
            <cx:geography cultureLanguage="en-US" cultureRegion="IN" attribution="Powered by Bing">
              <cx:geoCache provider="{E9337A44-BEBE-4D9F-B70C-5C5E7DAFC167}">
                <cx:binary>3H1rb9u4tvZfKfr5VUa8SCQ39mxgJNmOkzhJm16m80Vwk1Sk7hKp668/y0nbHTtOjwLUwHvsmcGg
lRe9xIdcXHf++7b/1216v67f9Fma63/d9n++lcaU//rjD30r77O1PsnUbV3o4ps5uS2yP4pv39Tt
/R939bpTefQHthH941aua3Pfv/3Pv2G06L64KG7XRhX5u+a+Ht7f6yY1+hfP9j56s77LVB4obWp1
a9Cfb/11qr4Vda7Wb7ef4T/f3qxzs37j1834xi+a3Axv39znRpnhw1De//l2ayj89s0fu7/4jLs3
KbyAae6AmLgnglFEbeSKhw9/+yYt8uj7YwthfGJjzm1buD9+9nKdAeXruHrgaX13V99rDS/48P+9
Y2y9DczLX5Pm43YzLxs0IgDmz7cfc2Xu797cmLW512/fKF08TFw9+MXmpT/ePMzSH9t4/uffO38B
87bzN08g353k/+3RNqr/C+J/pTDFd4D5b4ebnXCbcsxd8gg3ew43ZpgyFxbS4yJ7RPsVHO2HeneA
CTjvkhwZyF+KtDgAwvzEZYwKaju70KITeMAQctE2tlMZ2Q/sFvUEVLe+f2SQXtXrPLo/AKjkhAlE
OXfpfimNYF87BGS0vYPtdI72o7tDPwHfHYojQzi4T99cFqAP/H6QKexPhzKGEX9BNtMTbFMCsnlH
OL+Kqf04Px9iAtTPiY4M7dW6VmWhD3MQU04xczi2Hz6wb7f0LiROhEsZx8x+XA3bMvs1nO1H/NkI
EwB/RnNkeJ/f1/nv39jEOSGMwIFM3RextmHTI4JBHXuqdU3lZz/CW9QT0N36/pEh+1daqvwAQpuA
uiWI4yLnpZNZgNbFmOMwuo3tdI72o7tDPwHfHYpjQzhb3xX1AXYvPyFgD4ERDABuiWhsA7QYC9C7
fojwp5v3r8kMvQDwNv0UgLcpjgzgVXFX3P5+fEHtosIWjvjhAQE/xy7MDsWwvxHZ3sGTGdqP7zb5
BHi3CY4MXb8AB85G0dIbX9dv93vwk80JKwhh+w0ocHMhQrnDEDjAnu7i1/K1H+u9o0yAfC/dkSEP
jsQ3czCcb5W+LX5M/u9wbbITBn5Lxvl3e0rsbmx8QsHD63ACT55ivsXRlMW4H/T9w0xAfT/hkcG+
us9Bnqv8ED4wcYI26hhjaL/CjQlY0swlROwo3K9iaj/qz4eYgPhzoiND22vMIXwmRJw4CD/YVi/I
dXTigN2FEN5xjE1maD/K2+QTEN4mODJ0IXq1bu/rtZ4iLF8ZoOInSLgYYcYe9zL4vnbVM5fbAhbB
ToDqVUztR/n5EBOQfk50ZGhDWC1XOl03h4CbnbjUZmBRkxfgRie2jSkocjuK2uu42o/3njEmAL6H
6sgQXxUHOab5CQa/CHd/6Ge7wUjwgWKIPQtwgW4raFP52Y/yFvUEfLe+f2TI+kXaHMS/DdBthDI4
xl7Yx5BXYHPiCgpxyqfK93SO9qO7Qz8B3x2KI0N4dV/fQi6E/9tNanZCbFe4P7fvs8wR+4RyJBhi
9GEJ7Chg0/naj/MO/QScdyiODWeIVR0ieME2CUIOc+zvGSPPYMYnDkHcZWLnQN4EiyYx9AK+W+RT
4N0iODJ0Z+mboKjBw32AjcxPGBaug78DLJ75ScDPLTbpB85j/GpnI7+Ktf1YPx9iAt7PiY4M840b
6KxYV820bfRKuwr2NexqisEF9vAB5/a2XYVOsMAU/CiPJ/gO6q9kbj/u+waZgPw+siPDfg6JkgfR
ud0TRpDrOAg9Okx2Nzvo3Iw78A/a0cumc7Qf6x36CTDvUBwZwov0Pp90PL5yX4NHDNsOEvhZHAtC
HIIjsK130ocmc7If2G3yCbhuExwZrJfr8jDxKywgLxfcmC9Ia3yC+Sbpk++AO5Wf/dhuUU+Aduv7
R4bsaZN9LdI78/s1MAoKFncRpc/3LD2BdF1iQ8b2o7jetpVfw9J+gJ+NMAHkZzRHBvRGvfDuoYTg
EMq2C4m6eBOzcPafvxjSEWxsw2rYcWe/jqv9aO8ZYwLee6iODPFlVt7Xap3+/q1NMNhOmDuUvCC4
kXPigDrmIEgx2nx21OzXcLYf82cjTED8Gc2R4X2j7uuHZJPmN1dTgfLl2gSk9aPLy35mVNkn8NAG
n9l+o2oyX/ux3nmvCUjvUBwZzuC5N/f1/XCAfe1CmQ0U2hD7e1jyGdLoxHVc6pLdSqrX8LQf5Wcj
TMD5Gc2RIb3MhwOd1jYGewoKqn7oX1tOErSJTgvXhRyjbc1sKj/7Ed6inoDu1vePDNlzKMQ9RKDZ
PYF0ezCp6AuKGDhCXHgGFtdOjtBkhvZju00+AdxtgiND92KdHCIrX5xAoRSCuPFLWQT4RCAHuZzt
aNlT+dmP7Rb1BGi3vn90yGp9fwAHFxjLFKotuPjut96nY7nwmEJIalsmX6yncvQSulv0k/Ddojg2
hAv95i+od03vDyGf6YntYEz4D/m8G3eEo3eTBgQFzY8a2I7hdPE65l5AfM8gU2DfQ3Zk2K/Wd5Dv
dxC9GrL9wEUNAecf9vCWxgVFN7YLmfoU7eYETeZoP9Y7bzQB5h2KI0P48r5dH6QFBWQGuZhxYn9H
eI/lZCNIC6K7HUemc7Qf4R36CQjvUBwZwtfp+vb+MBVzkLO3SRh4rIt7fkJDDifbeMTwT6vqaQbY
dL7247xDPwHnHYqjw7mBTkcHkNVQok5cBokj32PJu/mbIKtBDYPSOrITS75Op3L0EsJb9JMQ3qI4
MoTfK8i+1+ruEKYUORHcdgj5Xru+cVBvHcjQeoRAbj6YyTsH8quY2o/z8yEmQP2c6MjQvlnf1tAf
Kj9IfIqfOAwq2imUVDx8nu3pTbns5h8outl8dtTu1/G2H/U9Y0yAfQ/V0eG+iUvW+bq+O0zZHASb
ISUbcfLda7KrmcFWx5BjAGf7tmH9GCB8DWMvAb/3BSeBv5fyCBdAoO6jQ3i6IU6JIB8QYpXP5Tty
CYdV8d1R+hz7yTy9DPv2EBMR3yY6QrAvGqXfXH1VujwE5A6kDGEXTC2okv4uyrdOdlDfXDj1oXZy
z35/JWsvI79voIn47yM9wlWwgi6Wh8CfQX0G9BsD7fyFox5yyjCHSmr67JDP30xm6mXkt4eYiPk2
0fGhDd0vvHX9dX0Q5xrdNDzYlGq8nPzrCk4ogrqsh88zWf869l7Efs8w0/DfQ3hsa0CuNbyl/7vr
tSBuAj2o4CQnLxVS4xM45m0OZ8IO7JM5egHvbfopQG9THBvCj/2c08PscTDHISgCgc/vGaO7+hwk
GEK2AgL/6o5TBrT4zbqbytYLWO8ZZArge8iODXWlEzUUzQF2NjQOJdDGBv9o6gzq2rYih09cqKh3
IHCys7NfwdMLeO+OMAXsXZpjQ7pI1wep3dnUy4NXfZN1tl9hh5pqKiC18Fnu8GSOXkB5m34KxtsU
x4bwppvNISIn0LiIYAzdTr4raHuEt7tZA89iYzeTOXoB4W36KQhvUxwbwtDxIjuAFgb9QikRLtTy
vJQ3+uCIcSmYZjuyejJHLyC8TT8F4W2KI0P4w71cHwJh0LMhl9+F5JUXjCxoNQjNiqC+Az1mMO0Y
19P52o/zDv0EnHcojg1n6EIAd6UcQO2Cqi1IIQWn6Xdj+VmoBJIMoSIPjOldiKez9ALGOwNMAXmH
5NhQbsBuOUT4E9KEib3Zqd9zGQDKLd1606NIbAwqZ0e3/jCZoxcw3qafAvE2xdEhDK2KsoP08IZW
CBwCW6BVvaBX2+AZwQhx/Azj6Ty9hPLOCJNw3qE5MqQ/QWi7OZD/c1N8ReyXugA/bGbIS3JtULyf
piS9gqX9OO8OMAHmXZIjQ/lL8/UQ+vWm9SuCckpoGvfwedYuEhqCQtY/B0/oNsRT+dmP7xb1BHC3
vv9/ANlfs7j1wpu7zf76Mbd7+ji/9oY6SDqADq4uxCz2S+dNoQ4Cewpw3xe0gHacP2/We9zS+3ja
j+pT2q13fHzFX0/KYW6de/lGup/X/AVrs549XBD45FK6Xz99eH2423CH9LsM3DNhP7tMLO/+fAul
zcQBJekJspuBtiTopkTtx6LYprmHeMefby0EldBw4Q2YxmD7goeLgjrd3X9/BC2qAH2oBgDRjWwB
pnEOlzBJuL8QgphwKRaGWkwC7Zw5hUe6aB4eOZuuCnDDDoUopoMcKMT88ZrXRTpERf5zTr7/+U3e
ZNeFyo2Gd3Ltt2/Kx+9t+AXnKWREkQ0PcIYQ4hDgr7xdv9+Up8HX/x+RaYmilpnLLHHlvChSFfRF
Rvn4bsDt2JaeEjIc3RmVrS3zWdIm3cxBBqNZQfCQdz4dFEnPK66q4SruoBe94/Gmc2rHQ71bNV7m
pJIsEMuzFHmUpkq/k1YYtziwQlHk/4y129Br1jSizgNmly097x2n072PrCrWazaaehw944ZM237f
163QHmplvYh1KVaysuUy6mvXq7qOfqyK0k+4Sr2qKRLHo0mcBajq2nNwYg9zzFV+ydKkeY/cpPtq
545TLttYRl9bWvfzVNvZhXKTYpbSIryMLYfOWyuWpy5FWeLxjgzvYM+GS90U3SrJWXeJ4tYEdVh+
KzqupddjXK+5UtpPDcWNL0MHL6UTmw+4qzIfZtC55WMqFq1Mu4vIRF5YjGqRWpS856OdznoSVV7a
2D0NONK95xhjLSGLcbis7TqeJ02s57REZelpnaHOI4h8BZjMaRXaY+yhUqBACIn/IWM5XstxjHMv
wQ3+mlDtnDeVjpZDEuu/iaNJANdk4uu8FFEw8qy5aprkFqY0X1bCRTdIKzv1Y2h3uaKdEp7DCnk5
ZEkURIOjLh2l9UKItJ7Fo+CXY6Wc06zKY18MWe1LEg231O3TC6cL9acmK5q5FnHua0vhFSEoHT1X
6mQ+iLCEhVK571BSWHNVOfqaKFIGprGLc+go0Z5rnZyFQzbOBm7xeeUM/beOyvSUl1l01heKAm8x
s1YqdO2zDFr8wrWZQ5p6xjTuRTXwfFFGDVrQDlZR79Sm90YswrO0ttxPjbA+F7bEF9ji5RWwH86t
JKMrXWA6N3VtXw2j7M9S3sXLSOXtrLBMvKK6HN7LmndBq7tqNqimn0XtGM51pXUUPL2mc2vP3hbl
UKtIfr959ecf//OhyODfh3s7//uXm4tb//unxX2xudNS735pI1l/fuu/d39uJNnPi0B35OPj7a8/
pMprHr4sWZ8KSQcyM34lVJ+eT49n24OoeqD6KVYhq29TRWXDtXEONPaCAX+IVQz5AJsqDOi4zOF8
3aR5fBerFCIJaNOZ194cqnAjHejDP8Tqpt8jDAh3K3CIJcO1Va8Sq/AbW1LVgR2CoRAT5LdNoBsd
BCWfSlUzkqKsmqa/zDsiZm0XytIrSMwSP2Fd+861nOEs7ts8mdl2Yr6YgrYfYYf2ladFXn1+Mnv7
hPxGhj+V8cAN5DdCXTD0LIVrUjeOm6fc0HwoEyGb9hJXObqMkjEPvYYVrvT71hTCazvafGFtaSmv
zrip/CquExBNo2bUh6KI/E4YY1/BGLIJcJqij6NjcbQYXCe8R4OF+vmvOcZwvj3jGDoRQDkktPOD
PkGbU+vJqUQVk4DtYC5J70RR4PZj+rGFIBGZGzYUjtcOPYoDxULujcwdlDckNllkbT2goG4Lcyd7
rZGvrNIJNFx73Homk3brsdpJollUxPI6acRZpoXUcOjY4pOW1XmSdk4/U9pyV6qWbbb49Vs9hwHK
Q2xonAJ3HULy4cNLP3kpNlhRZ5WpvsxNKD4VEUcYDigMS6PMm/6662txU4Yo/fvXP7tZa0/Rh1JC
uP+FEehbDN1O8e4J79h9REsd5Zc5H9ElSmRzmevaVzyUn379S7B9nv2SgDY/DKpUwVThO+uszOkw
VrUsLnlp03XVFXW6CA0fsJeUcmZXTTr6xB544cfE6bL/bdHsqjLwlnjT14BC03xoL7X78xBgVDLK
M3XJqsRZZ3HjrJN0w4MzZnrm1kXhDTZAv+jSqsNelRTs3qRCLzsx0IveJbXtky4uEj8GbeUjqUtM
AsmH4b602jKwrTFjviMKWp86xB0b79ezt2lFuDN9YMKB2IA0JbirGJozbC96220cUEhCa4WaMFur
2ujIQ1ZicuqRYcijs06q5GvERXnRj5WcuwXtlY9Ry74ZNo6FP8iI+bSI23tVE3bXOqVkZ79mkjrP
QCaUwCLaeIchic5hYHA+3ZpuzZVdS0NWMa3KUPDACDkuetMTMTdt0/h1X9nv2mxwGk9Kyfwa5QuN
63KR0hL7SVpl78vUyXqPpV30uYuzYjloY7zSqcqPrk54EFZ56DdFHCtPGRJ3Xhjr/LIrLX1VWSOZ
RRESsWeNYZ75uJXZqeOa9D2Oo+toyEkP+hOrLk1YfTA4s0jgthgmUg0YZANtQAuwOx5fpNLhX0K7
oWfS5ehijPpW+J0taQadtQe1tHg9ZF438DFAnWMFY9zflroyN41tMel1mWHzUFfNkoYYf6gk6pJF
yCykvFEm4VdQuuvWU3ll/dNkLAvKUuNlUuTlElUivVNt6cK+J1lyo0TYM6+taHRWh3XjDzAPC0Sx
uKq6rJ/Rrq7mCPWonaVw0VPkt13EK7/FMpxlmtRBU4orGVqRHSBUmFM4anDn53bsetyw9O8+s+U5
rkV54xDjLBoRW3iu3Wxcc7eoZ9ru43HeJjyaW31vr7FOu286KkvHH7GxGy+PcBvNexMXsDm6bjZE
bcPndRHKIDUkO83hqx4cQHUBE521zIt1HFs+CzvmscLpR4+aNPSJsfJsUbvJLKLNYL/rCKJwk3xt
p14MK8nMiemEXvSE9RduMo5p+K7pKpNl3qDSIa/vZCgxHr/ozupZJj1RgygvbvGQxYbUcE9J05T2
pUlMlvRnQlXjohWNCZdZrVTpxTgtbmxmkWU8ENL4DWAQekNlC9AGZcZ5kIchnIcmTUChA9sgsv06
NSi8AvvCZcVpMrBOBkOfCnPhakNgRXVhgXTnN3AWzl1LxuFVC1vHjfyKlxwWHEl0Ns9TVQsvreDw
Cmd9q1wfrB4kHG8I7ZzCvWFhlvlSNF0471KWZjMdglYwd/IoG30+OiAxc5zQxs9kbaVeq4dIX2tl
ZdmsiBT/ZjUtU3ZgF9gsFOUNv3SsMArPcsIMc2I/73U1DqcakmhqOSsjybJZqNuxmota52o+pG42
nNpgTJS+g4dU+ax3hnRRq0pZPsCKP1tlNqIASqmSLID/bOsqjW1Lw5Tn+ec4y0S2JLUw6SyRxn0/
NoaQeWwVGJ3LTmqWe0xiaRZh3Zb5DRzG5CyORpzMmxI4mBUmjcYZR/0ofB4PZbfK+ABL24KtUgch
Qs1ZTRwnDaKQRE3A8hbgVEyDfpKPMRnv0wQi0wEHBrKADJmslshW9DRSLHF9nCQVCVShwmBsQjAI
ra4uxXUcdjH1iari0cvKeLTO7TClc1SGkQPsClbO0CDHYikV6qJZIqjsvM33PCSUyGH5RKTy+05Z
YJj2yvqnBj/BYHkK9hG+RGOuRuXxllrkw5B2uLl0SzEUQS4qs3KaHI6kSLMECEQG9v88VBLlX0aU
5vKsGrK0n+vOGdU5MpH5QGPsrJ0+zEKPI1i88ybvGZlpd1TAfIPAwE1JlWifd+FMIVV9SbsONIs4
itsb7bjd17KW5LRlXRTOeOLY2Mt5COM4aRH387xu0eXYl4S+08ZBH5Cx4Buda2nuGzSwftbiLFan
NZi23TJnkcZXymLiU25Xm8UZx5VesFRLfd0P1HDfrjrARnY5MFZoELrncIKJT+AEgdUNJmtSg2Ur
+mJptAjxdVw3SfIe81zQZU/jrlmZ3myUTzn0105iuf2s6DL46aIYxxYM7MyMCzthm5ffsN6BfAK+
ygxdUieHt2gqB6ZKJkUy+iJpYeuUaZSod3nNYMvXDWgFETwDmYpNLq8qRIc690gpbYC7q/tmlVmy
1J6ym6qf99Api8yGtgJjHv6sKx/eCARIL9BGTzZ59imEFuRnvFWKe1w6CayLIXLXXU6Ajb6Oh/fE
9LY+j0DNjc+LMk/iGw6nxULnNrqsRFR9gdaJbuVJKhU+K3gkmvNQFlEbDDWrOlBwB7IoMUyrb7Nq
uE3SxLnuG20Xp5U9tMnnzs0ifZqFVvZtGMVGhqgqlQHYAZzMFB6knpduJj5bdpjNs64EDwOjG7u1
7uR7VRh9LrIkdgIH1zgCsQfXeXutxOJTHVttNEtxDttktEIiljQvUHWfgUAezqApL+yNbiOxZ7Fj
wYz24ImYwSHTVeeobrDrhyI1LZy0pLVB9a7if2rRig/WAGr62ShMje6MzgftZQixdqk6DEP1GZKj
T7vIjZYlwNL5ViLc+Vi0rVn1A0tv4lZXHmf6lGZ965yOnQvgJDbS46JMk6JY5W5PLyxj02Imqzxr
z6OhK6XPHZ3JD6CJ6Dtb5CBGQHTq1kuk7rQnupZXcAoM1U0aVUj9jYqR8NYbQQMbPpaGWAIG02E9
k8xKojMrLLuvMrKt1k+ZdpOlEjZ612srHBc1+FnUTI0NLFKFTUyu+yQdncvMLcEvUZWt7a4okrT3
B9Bu9KyTJaDW8VxFXj2yDGSH1ukM9aSvgzbFvF6MvILVn9A+YsEQDrb2w1K71efOGdCHWNaw1uCk
E59grWf6Ohc5AgGLSxHPeSbdzuubLxjcchx5SdKyjw7Oqy7onMjQFQ1T3r6vQi1qONxhRc9KRQBN
MByG/kIRkxQXrC4luca9nbrLsC8EvFffW9Eqqa2yCzIdgswAbawxqzQNgf9aJNFcS57IoOttezlU
FPb94LpMeTSUbPWglX73Cl8/WjOPfs2nvoynro0pPpKVuq0LXXwzu06SrYH+P/ek7PFRO2AJ/fHU
X7Plo35MhHnqgHn0bG+ofrhTIH0a3BSbiAQBn8WDY+SnO4VAaxK4KHjjGsFw4fd/vdSbnkUO3GTE
KQfDRcB9Gf91p0C/dXB5byxncDuA2sNf406BtqE7ptEmVALtZeG3oJQPVglMwlOjI08h/JkCG1et
kIkOYkI+Ro59Gue5ddak0QwZOvqO1Q5e2DbLvhuQV2TYnaFWnBkHFIESfI7zKB4+cKuoFk2cpV6O
wE1cuNksbsrbCPcIeaNp+nDhukVjBcRqPmk+0vegYXYLt3bDC0kHdxn3LHArTPyStfUKrNHGcyIs
5z1DX02ov9lhY07LLr+scYyU7xY6mam+eT+g/h1rY/ddVWapHyUdD+w0b7yau5mXirz2okaU3iBK
4WXAFe+TeRw11imKWTiLM8XAr67uUI77JtBtqDyTx+2pq8PIi8ox9AyBYzMJc3QV4riAHQ9eHiNF
fsoQeN5L+PlRpblXMxvBr6jaGyHy4NUExJ4g3Spl4VVcyLM+x6emzioYHq8NqBbnbgQ+2sK04HYJ
4/eFo/3ELc5by6Ze7ZLYV1k1LEYJlk/d1DPeVNKvpRvObG59LEd9A6r6KRyvfOlU43XdJUMAFvBn
UrHboi4uKyjg9GokzxB3rh0TfojaPPa6DiRfIr7VJV3ajVg5IKMDDJ4ZH+WUgZwv/o679MzN1Zc+
NtofhPWtj7j0GyPmKm3/cXJxX+YMtEE4Vv04N9zLXZiWNiWlR2QkL5QCCyUBSf0PzotrPsSfEpuB
xZeBnyDNwRFkcdHNsiKHw0/rz26rv3C39wuKi1kSqcYbIiVBuag+FUQk88xOHa/nbhSASfWhAOjT
FLfEV61tZvmIWt9NrcIH6+e61Gnm2ayLZ/XY3NLS/N3K5C6LcjoPCborwySey16aszwEsWqB1yvK
WTt3exL6I7jw4edxv2hsW3l2SLPaU6hygpKSpdUIsYh4FvuEF7ARCv5tiN2AJvorKTuwmsAqm6FY
J0Hj6m9dXrrA7ZD5sPdLH1STdK5GBp75UMB5LYRfKdgjIPDB8ijkCOp45ROw+sAsbhdR6wpwj/RX
pA1PsZNfyz6/chO+tCwFZ88yy4KwWwkYU1NzU1ad8d2BXSeZ+5mJ7CrJq9TrSDwEYdwvEoRAc1Rw
fYT5m6XSDore1F4Rl2Kmmaj9QhjhmTifF0m5wrhZaCv7qKNmmVTRhcnK7BRh7YOyc43T9pQ2XeKx
TsBq7/urLMXjGaifX6SGuIVb5p5rd2wZV+wCi+xSGXBNWMTAoTtgv0gSCE24RgWRRNy3IqSWTawu
cKMuUFZ+SSFYAZEg3XguCj9S5nxuan2Fs4QuQOcUQR8j13ckdYIauvR64JFJPKsxi4hmOZjJY+9b
Q/a+c8PPYwj8VWWjvVERED1AF4Hu70UmDco4WYZjfV+BRjvDY1p6lcCndlSMvhzcxBMwrX5r5Gcc
knemI5FHVDPM2ljTIGlr9zSp7G+QTnBOlbpQ4IXx+jQjsKyrwM7Ul9ElH0KIqfh1WDDQYlPLS2L0
3uHiCwrjzItI/g5bfeehkX9zRbMwozV4FdgNM6zbd7VsFmGOP7RSr+zWijxW8jPwmFZeyLJ3aZUH
PVPWmezSj8oxeWCb/swd+KyN0gHsJez4cZWmvpt3CUTa+iIYbbka887ynLDoA6tOv0Vj+KEqI+IN
CCfwcrJc9DK+q0vnKipQ7tm8GwMK99j7Ofi+z7vIGk8NL+esY5E3VhC9JKSbWa2BcKCIbnqiZg22
TiHadC5E1kIMrT6DsIKEU0CCxV5lw4J0buOnbuHMw2z4O6vtuYnsdaV7teixbMC+ai/dJvuInfZi
hGCYl2M1oy2d13E0awt+rsr6NNahOR1hEfnd6CrPofZiYOh2ROXKiUBm94LM3FjOKlTfm1iBsVOt
xz6aMQW7Uw+NDw2GvhQ8D8KEJ14PJl2Y2KfMgDSNzJy2sAhskEcETgqmUh44SZ6CwcE+lI1ajdS5
TwwISkXcYtamDOz+offMqFaIdLXXa3FVizFaYNp9SmHdejylMWyUWoI/yfJgo72rnbb1XDYWC3uI
1nB21rNCycaz5FDMIILsXnEIwy0saKCzqHX9t0rQjZM3qV+M4iNi5kucSDCzQC542sDSSFmJQIKg
+Yj5VxLyflGLeg78fa3jqgBTtLjT4Zh6IkZtkEsyXoKB5ARhWV3DmbfqKDwD5f3cCHCDmrb2SWkV
M5E1d6GblCBFqzsi86s4FqASW2HimzZcodJtPBoNci4K0QZRbyj4EJt0s8sqP+TOpWQ27LJS5Z6l
innRRKfgdpMzBnLSCsG7Z+U3QzHKhbLifxJW3jod84nMskUYJgvQIwCDsL1BTon8qq3Y2WixZWkk
HMU5TcAioMxXaBx810L6SowUgqbZt8ROCp9n3VXPwtTTVnRhE5X5wpTfuJVHMyiD+dIVFppZVebA
SO46kY7jlZH1NzjPw3c1z1cgzcFuXtFWLqSijuWnjeRL2ySiuizStJCuVys7irxYVe04g55klbw4
iLb9f0+P3iiwL+vRPzvwPFelN4Q/VGkE4UeyuYEKoozQiRWc/D80aWg0AjEt6KK+yfogwoaC1B/5
HtAWEvRl0L0RXB0JaRjg+v8RmCRQ3eyA4guXJ0BPqldq0uJZjAFiIxgaO0NIEBoSkk262FNFWuK8
ddqG4FVdVFXJLqzUGiTsPmrrzA4EjZMr0WCSBKDAocZTXTPO0TAg5g1GOVc8tdOrpqgsUJN6a+mA
x2XVJNYQdFjn51kospuB5N1V09PyYnMXxS24sLoznHXJDUVdfQ7RCfCfmZ7dhxi8dAXl4RzFNQhi
VpniHwnJUsKzWpEEdVd6VKSL5H/YO7PlunEsa79KvwA7CA4geFkczqhZsmTpBiHbMsEJ4ACAJJ7+
X8dZrnJmVXZERvw3HV15lWnnkY50yI291/rWZkCWwqEh+2ItJd+9sHYPwUxrk6dCooBspMNpkGZu
oGOxBk2QxX7T57VI2ru+N/wpaFLxYAavE49+A/tv3ncJGd3RDYKPl/6XhWsBPqUK8A2Nb02QWbjK
E+TehantHQYljryJsMXP1BREBXAY699QOjRlH0ND/OQ1Lu6z0bZJkq+QcqZsmSBFZrHdxrfWmPAY
2V6XDrhFAZwlmwaoJ3oYCyJjUfh2SuOzHcLpnTc1DbJebChsqQ/7xxst3fKtlmG438jcHDeBHHyh
MJY4MtvkENiYFCppvuqmE6eB8tBdx82ojwxEjn1wDSO7bYqlC3OBCxPqagrxxvvN2fz/PX//b6sI
l/Xo/1NF+FsH4uLb+x/rwW8v+1kPLo8+uTxOlEEsZ1H4a0FAZibETR/h2Az8kAS4WX8WBMDbqPZY
QRYhUwPIAX/1syCADcODNzBxgyvDxqrgrwFg/zpa4ymIWF0JtQ5iPlZLo5T9WhHYWo2pYcLcNmiE
T6xLo+tJrmcmuzGPzfRM0cePjW4PUiWd+xBqHr17s21wT1ydQ7jv7lOBnlq3272uopOae7Ubu7lG
87jBcW+Jt8dAFmXRIHZVa8URto6fVwOPMgx1lchTO8pdnwydedyq4TVFp5F5QOCyBNp6kw/BHJ3s
6rlTPMhV8HxjW42pvy22gHsH7U3fq1Q6mP0+x02iYDuSNj12prLPA0IO5wBI1zULJVy1+nEwoRhK
1m/+biCsLuzk+UViU1mo0IVF19VBFtAUQhy65zaZdDlWJI91oHfxOtygZbSZDVW6s51bM49riPVC
LodpmW/IPKe5luPrtFRXG1lK4W8YWoNrP6rOi9MCE8yAogqRMWsYyxczm1LiE84q7ukS36z6zhdF
3zbXWA7UaRQZ3EYYQWImh3QyD6INH1njS3McqPD0fU3keIBfmMtR0APYqFk+Uu2nUyYMT2wWJjza
h2SxDVrr+HvLzXK8xLn3RrZt4Xp5tzXzDY2Gk+zEzegHZ6a9nZqXk9dTlBmIeCOa7QbiSj18W2Tw
UOv09T/tBM732Cewzv+8nfhtz+4fa8dvr/pZOwAB+9gWHUeoDWmCJ2/8s5nAGiPsOgBUCqgD5wb9
pZlI/hukDy5sNBLsN5TpH7UDz0mk2KHA8ILLRjT0GT9lw9+JrNWH+vt//9cv8CiyfX+U5SD9JZdV
mUEMHwTC3O9rh+eTbQ40qW5x8O+SDWatnmOZddt0E+ruZWi9bFh1Wrh6OyWYN/eyr647ZQ5Yz/QR
eXbMlzQGLLjMOYrLGcIyz1zaXEvApgXxvHtZ10B3FIMi3nfPflq3Ga/TtIzq4SsxQ1NoZm60gSlO
7Cvt+u+kacsYknsGzO6Npl3hwS5/ngLjHyRvz1W/cFjTsS3wttXOmPpGwUzNKhK8mi6RxVhHGFzC
aC4Wj0awvfl3u8wfYRdTYIM+LRk0iRxS+6Nqxf1ayXfnL8/eBi0jpZXNVVy7svXiUwzGCyKLwG8A
BS2bE/WFxc1XkUw3Pai2bFrwI2IEa8t5IHdeFxZNV12rwZ0bVds9WiK/mOvgLm6aO/8CNUCJ0fnC
9IoZNWJ73LMoRPPylc8NaFNiahgZrNs5EW9F5zdP1m53tXEiC30NrCzskqulTx/nnhd9T+5nuUy7
pov6wkvdWXTpSej1PCjh53C6Z5j29liRockqlQwZZZXKlIHT7dUzK1Lhu08zaIZDqmJTGp00KOg6
PAE+a3Zpu36DFLudKiug6kgfkljfMAzYzIMFHV7RkRzHCNP6Zji/3zy0cWKEbrdVvp/BwEqzyoNT
Lo0U94p6ezV5e69OdqoZ3zZ/cPu5CqGZDqLftVVSY46LdomcRqAYdjtQyTG5j65MEplk8EO+glDp
c1BSmEa9qC87ua7F2vO3LlmOtJqG67odtgJfFNWa1bumlmvhw8qqOdGllXQ+BcH40PJEFElg16JZ
Y1yQJolv/DkKDxMghLwy7quZ/DAbZpNmxovANbQyzQ0UlkPdBLZwG7tO+igt2Eo/psGqckoJAEEt
AUfgUo6jZi0qW3e7odoY6Gf6iHn4zSbtRWKdcQ2xpDvoee3yuVoevY3PR7ikXwGdSbTjnGZtJSEq
G4vLOE3uABis2Rh10cHr49e0Cb5g/Nwn3qrLYJ2vvd4b8HtmYxYtsnBi/LKl0YYPPxmTQs4pvfc3
p6MTcdjSYTNcvHW5XpCYcPnoNvGyVrjngxYwV2eMn8Ep3m2hDu+SpX+FsDgXnNWY/GdtMpxLz2tF
of/xZSrhl0NAQ4evlN7ytlUvkCoXQFkwtWslMz5Bm4YqQ88TRutsZKLJtlg+OcVvJzpcmTWdC6Pk
91qPj0EojjJgZ8v8e6ebs8PMHrT9SXji2m8kdOutqbKoMxFIkOjBV9QWBF93N67kzMJ2yRMQAyqp
AlAfeONpdZiX6Ox7/ncKwGdut0tpikoFTeikvO09gCySjUTH2bjqJas3S0+10zv0USs3IMe0fpHV
aNVuFQNMCeFN6jHESf+s1nV5XXkwtNAfZzsdwprFb1Wr4pOe4dvddVVXsaMeveiNVzTg101ct/s+
bXVhUv4Cw5CW8Rrg0uBVV3JcL4dItbZcGtflC667Mh7WNcNV+Goic3BtH2SE04OgcAcSwC6Hpa4g
Qip+z5y7XaXRueudg8jZ33W0aj8ZhMjKfqhRntouKE3VfK+m5H6i8Jq9Jd5t2Ol36DZoj8mQPISp
/tZv9nmMldvhLt4zPj271Ihs9N1dGtVn025xPgz+O1lRxxUGw2bpH8hCulzDKzmMnVfjWuO3wDeD
fNMttNKqWcEcLaQ9ShVYFC75nigryjAwU55QyJlt8yVgC6rB+mVNgp0cMS45Fu95BHar6iykX699
8tcraVXRtwcGekS6fW3qvWfZbUXieme35jsNxcn1+shlGABGq0vSRyQjDJh3Z8cwS/rlsXcYDgVH
9Zv6vtrJcGDZtukeRFFdarW6Yov6PfxtkveLWtA6jg91E6dFNyVXFxFLzX6dI5oA7Z15wMSCm0iQ
vogrbxdP05yDrn2GnXKn+vHGo1zmyqcvDbNfm4WCVFy78zKssC1WfeaDe4lHlumhvt1iBfZN09PA
IVeZZtjBfz4OM3vzQ1bvQ19V0J4UyUxPriSI+jxGMy63roDd8pikbZiRIPqgFmLc4lBsQ6bPTQ8C
uAc3g/9x3U10OkWaVbmpRZvVU3JMaYL6HMJDti5rvfoRXu/7aJJjMOLP9HZllffchviofTaWk1Ea
5cbuelJ9NGl6iBd1VB7+lg/su7bNt2Em5z4Q/xlGfzNs/f/R5v1bB7Xy41/7ycurfuknoUyFFHYu
HlWAmfN3/aSfAKWP0Wxe2HgMvj9nUYaF6PgH67IvOtQP8/XnLMrwuCmIXNiwGqZYqAjW/i/0k1ju
9C/9ZBCAjw4BXOJ9kstD5n6dRVFrlqYJWXfrkfG1qlFfnem+kC0+dgT2SUNdPk+mTKC2+DbZubC6
SrfxZmE9gKGlH499PfaZqbx8Skywg0W881X4uNQ2KFmiTG6r7crXvMCtAYqM6OeaBQO6p+5KxCMc
FW86dO383tO1ygyJvkGkmvPB66u8itfzyuy31kBBZi0GO0z1Jd3gipJNQmg1XldMfbyihUBdTUwK
LX/zaa6V3HZSwZja4rgIqu5s1hi+RqU/h6BmCwAw33DPnwBUD8W44siq7NxmPbyPWAAylkl651Ly
YrmDqMvQAQvhLdDVER5qaFPnrhqgGfUVajw/hnAJtkTxbISxmQXL+uxEda0TeR5gfQj8TDgRcb72
QfCw1G1hq6ovWxlccxI88a3TmGtNn2GXNvru2YLKbT2G2FZ46MOthnQ+vLB48nIkkiq03bEd6+pR
B83w5o/L8+ai5azZfDuEGjIbWdAEjdPbWgHukTjKhoVCYosVWg7M+CaEvSk4uxZV8ByOc5iZerlF
203LtjWuCGJXlS4FV1VNKTpAZR5CT3yLO672YMxyAnLsrOi7Xt+B18HSoe/zFqo9DsB9Z2CTTgPM
3OeUCPkI3XJoP+rKfVtW8eDQE5eJGRQMYFgV7H0izQ3H9Q0hXfqHVQfqNph4ehv1fD4ho5RHKSb1
JaGwxrcm8wWKuojS7SZsHJCWWvXLHnTuyyKXIql7cR2u6gPEDuwaVaVQGSkT7jde/P+66AYAEfTH
n8/Nvz295F/r3OVVP+vc5XE6F0HNB9MCjfuy/fmnCA85DklHMLu4ZiF4/jo3X54xj4ceQqIPLlTf
Jfn5s85hDvdjhCgwVUMpgxr3F8pc+CNx8WsiI4asl/gxHiFBgdbgXfy+zHFTD2HM6+22lnfhlug8
4BsQLZ1+Wl2wZP4WjFkayCskBR/YFn3Zhg5AtedItogOpaOegdPp9DS36S3kAZWvHv0CMOa6M+mz
c+OncJHfjal2owfIvE6T127oB/jbNMjJAnwy6K/UEi655TbNWhfeLD6gjY6C6Bhp+0wr6nYh0Bi0
j2MeBDCrVBB/brvkudrcF48zmfM2PSyj+dTW+m5KoxvEScjeT9kj+OtPSq3VDbf6pBYkSDdvPhPW
AJqUaAZWhZ/ZFQ0L0dqbI6THHTZL8ayJ5U4K78UMNRyxOIuD9KYDle7AbxQyAQPD5UxKt5gC1tZu
ZHA/QVZmOJS+qbS+nVtCswop1Efn9UVteZiTYQYvsVLkA8M6R2FBbZVeU6Ze/Nq7Fi3/whPMI353
SlSdFuNC5sIDAbQmqing9xYdEhAF0iGXgcUhbGke6Tao0k3x82U4afOqnqLHNDEV8AQUNlTnlc6z
+0SWxTW5ZZDwihh6pyi7Bu7lDdjQhkKdqzr4CMpdXIP6ilFbtvO297sVNKOlJYoXintV7Vc/snni
4FPwmIA2GGzeJ9HH0MTXnT8juaXdm4takdEZF47g5hOg7Le6+5h4fMLsp+BAz8fNmPM6YUanjTyo
wPdK0QLaB3N5nfroI9stPAvhv2wRPfXD0OZ9vL2Dyxk/Rf38UPXRAyEWLuxyNOBO1qbhhzrmIaxT
fpCzANQyhufNtCRLvSE5bh5MZ9ezZ89OLKOjt1vSYO/XlmUY8DLGl6NL4zbz1YDjoJJFaj2dW6Qe
arg2sHTdnQz4LjTx7hIXzabJPLuue+ni4DtE2h5W7vjZZ+oKis6nLRGvVT/draKt81WzQyvd53mS
6BCUOPC1SXKIHKVc9alHLCQPGvfZAsyQZHzXW41eIjinTV2Qenil9aILHi4daFKJGO7UPZlo+iRm
zL+DiWa8tfbcYn4e4OdnOnkdAXQDeqLXE8YhJ6K9H2JO27wV5vmW98a8xax6QPZglxB5G0bx7TrA
3xqpC67Q42MypvLKtQjmhdWuld/aFt2L1U05L3yvahhOaRfB34kh5dC4YD7HnyymxfeePzuDjDSn
wXvPMTbEyBHmkCNOpKtgYNntiToNCkx1SRZOyZOU1ZmN/qtj4rpL1/sw8PbEbzEOjuk33vuHPmW4
jABMWdPjAuRPXePWkjfBR9xEA24o8oTL+HOia4GyoG50Te/nNPyWug0ZYG+5UxzQTT+TKOdVkGBo
knHWUZEihjKRLG7X7m5r04e2RV2BwzUeuRV+2UMn30maflm5RlxrvONAh3OexLyYF5/n/Tam5dTE
54HN0R2Q3L23KSHvuR2bx0GSr3zD9IZM4yen1FXoqi9EErgDZgMRnXqlboMboasmmwdw0FvHJPQp
bCYfEleaRMBnbIcu6/WYZgN0InQ+iUYt6qacR9OVI8kZWfdTbchRCP0wVaAj/CU8UhfdrMY7qx4/
Zd2OBcx/P4udFxUbAouN6AGMJNH/ySwwztV/xnr/PtqAKv3zIx+BKzP/i80W+z5e9Y8jH+tiU6jn
wFj/Dpz+88jH8kGsD4UXjyfW/zDM/jHapHjqJkLEWHSVxugKEjQKP498TD2X3gG5SXxRMLF/SSoP
fhCqfzjzYQhEBJbdZZkp+8NoA5KnQpiBR7etG5Lt6KjqkdwXoea3AOXDvr/2EMw6MJ50uWfE4xZV
UdbiyCokxOuLjlNnyC22pUl1VMwx7lh/aXFKreGUG6veyeYwqsf1OwjBtehDBFunmZ67vkJOgTd3
zQg6vOIoXv0cZZaBUGeb8w91SucCUw2HgN2iynu9LcUEBk1QfTbYDoBzon6xhN7XodxDYweMtxbS
QlAZMaBZv/cBj6l7Vy3PiqrjjEUDWd0phG/A/+QpmHmIB+49baZ7SiFCGYC5qGvBXeDr7tpETu0Q
S5EF2gyFRNj4PeTVu2kwRPVeUurtY1mDuACeU1ovrIqul9drEL0MssISBLYMh2hGDnAKF6BeA4He
rTCxOAZokNj1HLq6KYPJfRiQBkbZM0mXPYFYiadT7OdwLicE10DqWmS/cPJNNvzQKWKKC3dZ6meB
C6/k5g4OABAGS46jG/2a7esnZjoJu3A4YCVCuarmqUu9Qmt5P0z+WXioYX2NNEXc31t8pKaPkIBd
60nutUfYjtHhROL+C47PLkeO+cq3KfSqWuZRxyU9YXqf7snqD/ytmVDRyzlUlbz3nN6GfU/kllV+
63+GUZiqjNr2axCHUBwnKJKB+ZrOYpcEaQW/AH9dm+VjjMicN/MKttiuB72Jm0hyVnrLuu1GLb7D
7ZgwXW6v2BfypN16Tyx5QwL25Cv3WtsmzWk8h2VSRd/qYD0tfrW9dWKELqQHZE5DmTOLvGPsj4cm
nu4R/DgkE/OucOQ+bTV+LLi7Y1ZV7JavM2xj4b5HGIeN0C2OBpqWmm7+wSUwcFSEGJN+thoZln6I
gqJDpqqt0nAfezUikgibDgR4JdLeuafE16odHTToze2wpWHImw18mze/1os6KNw2uWTQwZEpy4Zk
dqWuMGFj+wcg8YjnbPLuNu59nrR/okNIiiZoPsVcVEikBUk28w0MCsNID10gaZOcanWS8YxWC3k5
M7I4E7T9Pgt9O/TRu535Fe2whqPdmhtklc9DCLeYqvQsEe7LwOPYvEG4ZhI4Q9EOLvsRNgQgbUhq
QYr1yy17BVlY9l18BP3xGrbhgG6WCtB34Om6IP6UeOJxBarnp8vnUUT1cRDp0a3jmVdsOHM1f6bo
XzHJPHqUHkXIbr0UC1d8+gEx+qbvpwPWbJjcUbTgA5GmQDb2wVq1byHxVlBIp0akZbsCTcXdQ99m
Ox9F0JgHzqxAnLVDA7+cqYZv9R8X+IcLfNld8OdH2/X7VA/q3x1ul9f9PNzgA4dQ5y6AWJREuAV/
mWexxQ/RC+zVgWD2Azf7Kdv9QEgQnPq5Kgjm7M+zLflvmL/YOBTgqRiAZDEE/5V59jIY/y64ju8A
ECWETx3idAsI3vmvsl0zeW2QuEDc9r6L+LUIdPy2Eh9cYjyh77xT8A5Ozoz0jQrEmQ+pJ1E5ltVb
XhF3mp9TEanHNK1jh8UAZlG7UCb6ZQ5xKCF11yUlFSD3o9p7XoOwydbKRXkXBG0erPSOYcGLqcit
sfQJfPH7Url3ZKMjJJQe6MwQd6X+Puj6+jbY4GSSliKHywvjTQh+NxMmJ5xS1WTnvPK393acLOR6
1FETVHM2I22QbY51iMKyXSctkA+ZsCw2yMJV04TVGfww9PQhsvFDX1NStAjeb3y9cWyqMNiQ91GO
j0MYvAnWhJniE7pd2ZisCpzbszpF2twqxESi+KGhyRXO5c+AyXctld1VP6mzES3GBB6wIpoTLFCa
Koh3y8DywbUPmJk+jZEbrkMsvcichH0BRnSFV4FQ3RLZJZsA4uQ6XLHqQ1bdFdZDly4ZPod0tPlM
/KEw/vTh5mlDyHXtSjabQzc3GOQB1MN3GpKkgbWT5lGEURtYAY5QXeWiwe9g5GTJK4y4h1ri3yK7
QqxM1bNElgEGwz2LRMGG7is2TjxRdYFfdBNd8Zgf68G7rwdY5jZOBM5JyJUVdvVUaMbQCkYPgtKn
aOrhPcfJN6rk2W3hw7AxNBo+g5cDNSCDf9pkqlrPsia59hebRUruu9pbM0RyXK4xsZpRPjd07gpK
l3oHD6qkg36UMUWmcEGmBZmUXTQm9sZc7O1kmxmmueioMaE8s4uUO7Xm3gE7zOJQ3EiHwWv0fDj1
m/kEGfALt0t8oGJCAijydzjvXsBZfU54lQcTeUfnBd778jZ8++BtWF3E3W3X1nA5g13K73CxqpvI
mqsube/cRt9qCkdVto7sprWGLYs55egP21lTXHYkbq5UoArWT3jjHnvBEgIvQ9ayzkmz8tyb6l27
tDfx0N+GKUDLlN7ZGe4uVAebVUm088LxLfK8QsTBpx6paxxMyWmw9HarlxDhGHP2Ur6r7AjTjM9P
rEm+UG+9xnquj4D3T7NOjmDIrhrbkqMvEijb2J2RxwqfAzID36D24hZzFWJKa2eKQdJb/PA004v4
PE4xdlP5/W3Ayd2IrVpj2n7xPJy/Cj0WpjBMYGF/p41iMKvEOem1fBEUGFO3dUHm+bI7e51BRF0A
neIQ1fKk798XwNhoELt7MvPPCNdsOUA7dGhpdEiZu+qkvjYENLaJXpGRfdchUqcxvukS3DdDXXQ8
PYpB386dv8dOkUOI9Oiu5uhJYxplMsKouLWyiILLIjGkw7ZYnLBTIDzXZJL389pCG14tWVEgpIWi
Hjqs3ho1AlvsBTtfO6ATyLJmY42dXWPn6z1MfPRAUqliWKPgDnnpk+fX5EbgxsLaDPC1MukdsNEJ
H45O1hc3yuphIqQ7N1ET7zV+BeXSed2BJMhjDANJwqxCAMzPLNUCKFzoNVkg8K23wSc7r+Ft9p9j
+scx7YNt+vNj+m/9+zc1/Zu5Fa/6eUhfROckuMDaUJ2xmu9XWAuPhg5wcGPsu+jKv3CeWAEIkhe7
mC8LtZPfbaTCczFweEc+ljYB1gYe/pcO6R8rk34/gGLI9bEKKCGIciJQ+ftDWg2xa2MwI7d+Fz61
an4MsBCuj+b7dgXls9hInHAdLT2JDs22NTDOW77jFrVSr4Zn/jiMKJFQX7Ho4MGPgA2IAQfSEmma
zY7ca3/EOqMUX0siHAO5cyDHtJqCbBDd45Qg0+ekYhlR67U3+irrJZr1xVkv91aIPQkYItjuaG0n
vYw3vuyfEjCg14l18qoJAo2oJmTxisPXCbpkH81gNJlVS04FYhdukk9CMgCcHpRuf5qP44AgD9NV
CWEY9n7Uf2BnzjP2jXiXRvqgQu/Rc5As+Thfu8tqARdXX7BPrAGuYrZ8Ukspp2NDrkgVfrPifQpz
DTpEKV4VywUSH51BdgYwRCG7tS0CNw/lsDXvi4O3iPTaNwPynehhwRyJH2iy2Bs4sbvNQxeyydJz
V0aT0xqxt7ihR+U3UZZuoL7SJL7CKX9X94A5IsvAsKzktqUTCopvSsJ8fCRhMme6quZjMkU+5pT+
IaiW6D71xNc1QHGSDEsEuhCzJRFkF4wqAIJmCYI38E8HrnTZtVODlNGClsFnV0EtIBPXURaDe2+Y
fFjbGT6XM6QcQ6w9QjZugzaGfTQUkZuyGrV9rLQf5pykL5V3OYvrYT/6DUyJ5ClK3TvxKrnvN2iV
8NoaK0CtB+AIgLljEouGw+LbAPPUeAoJfhY3jfs0RG6x5UT6d0Ok5SPjI74xUkpDq25dNH2tFQiC
wHp3uMDfUwUtGdEreRIt+Qw1/nrCHpXCYxEWgy3hx7qYD5ts227WK+JzM+MHrDb50uMWzRTeSt4C
C94h4PAYo9M798w/2aZ5HVx6diMB8KrEXi0eNggCL5l9domDcZKplqOrmucb3TjcPvZJVPzLKBJ2
kCGWyTRe/8hdeNkEaV7GMEE+UVcgUNQJ2C1slI32OzZLYGfxp0n44mS1BLjVuEd8zeVqRDoDuyWU
wpxKp/zHHhE7YSEMQSu5C9dwy33KaUF49DKrZsqtMyabZylPc2BWGEFojcSG7qGbgQu6dVafK59X
BynEdNfQOEXkEjEJpCZ2zKDLCTCtVhrpZduQbA5UjQ9okCXvGoM+pa1xt+vgCNleIIxJRQGS8ug7
5h+BZR0Twrs9YpAX1yjEpHy5SxnWD8yNdpka5SHSkAM8WjQKqYem0YC5Ow8x6zjSOdaM4OSMRFKk
1VzoCKE+LBcpvCi+a6o0U7P9RNbmHE/mpMLtJo2mR5tAMndzv8cC0TaTPSQa2ZIbNJ6favWDOxV3
fWTuW0hRrF2v5x5WAMfA3WLNXdar5hmroE7R6h+2eX7SjPpYEyp9OAUqhCK1XrXzWCb+pHb9xuYs
mNZrPoX3LbCZcl1ImQTDKTBGZttsIF/wtxpzBxItN1gPdjc2cBeYnb9wHgPCat3nTsDSjkbGSuxC
eZv7BGHeDbSODoYnJbDm1IOVZCHGZ9gHt7XPoWnQS0dUhnsoiEEpFDYZxbX6j4j8m4h8eaDrnx/h
d937149/c4T/eAzs+28beX/4xtjWSLFt4O8JrV98Y8Q3YBojdhGDdoZS/HPQxnCOdX5Ys49lhRHx
Lwf/z0Ebxzs2AGN/C55+hCOc/iURGfH7Pw7aIG0uC/vhQ1+WNfwxq2E3HNMaKZ5bvdo2j3T7ouz2
ADwOxFpa3fZkbL6CHpbAEsMnwJhwIBFnfGTJ8t0T/i6gcZS5EEuLsEGsRFPNQHsBJawn/mWqWpKv
XYKR1sgHBK8qDIGK7xfEKcFeywKn/RcT1o/UuhfRa8i7HdDOYIjyVWEFG0KSp3CYe3xF8JphKneu
Cx7xvYpFI0g2LUYUgcFehoaZJkeE6hqRxU9AzpGjbatvzYw1sxO/96P1VmCbjUrgsFm73QeIhO1A
wdusiezdGkAegzZKsyRAPLnv2ovZlMHzzsPRNEcAAZDJB3IgArtuUq3mEgY1K802hGXYYrdD2yFW
HvbpgQ/RE9ZWYZVkWhigPGaAq45BpQZsC32eYEEU9gOBPfHdc5x+w5CK4oeaMvenxOrPxkf6ZYCi
mkUX4M1sMMmpBfsYr9uHxS4hS5JdEnoJTn/xXBEQSgAA8451mOwmEOe1OzRBcrvUyU0SQYFQ07Py
4i/GbOdEtXuv/X/sndlu3NbWrV/lvAA3Fhf722KxGlWVSr0l3RBqLPZ9z6f/Pzo7ia14Oyc/cC4O
sBEgQGLLdBXJtdacc4xvzGumE27VqHvIVdcSXx31sHlj8w35EVpmpUC6l6aXte7cmJF4TcZZrEbh
MGsTKs1ra7jPpP4U286lLC3ODD18gbJTYd2M1oEi5Q7Vee6as3igwYvLNkc+q/n35Vhfloy2gjpx
Vk2aItQPn8deuSu17jiG400LjkeYymOnxG+pEzOqR1vo1iWl35wWNhbx6oON9xZJVIQA2Tlxm45D
bK2r5cShf6il4QFNQrSMubC0CsAOOnr6MN6ZsV2sRGBt5xj7T50Xz1puPmnUTS6KxBds/TxfalWh
jsoTht/FUe3Td58n0qm1jEqt2KqpedGZ064w2/dewd0sQ+3OaIJtEKE7ZpJ+pYqhpQ2EjhtnVLiq
FQ67Stih69Q4awkneYhbvqQZpQAKLIYZeiZvWrP0HCgDk8hqkARtXl74wRBcyq54GJuntNprvHNP
WRuxxzPkCEFO4TbW74tqCq+noXb2fgL1obCacasv9A7RDTotZDX2pi5kYqKUH0Y8tM5xUMFKXfuh
H08eNLtqvu+/CQuMfrQZ+Qd+ot/mvsawQgm0h0iPC09HmCAcY2Z/0VdjDnwAnBF98zgGmOZsoaqx
sVJ8rNuhTi+iUre8rPdVrxy0p6I3Ym9eBtppyCONHt1chSN8UMPQXCXK1gAnx1u7REZRhOF5DOd3
SS8oqgJ7HSHEEJQEXZKhzBhV38sROq0XmGBqWZejjmUbOccs7C8R8o7QNuh2I/gw23YfIQCpkdGl
CELSqNuUiwhgRipSlE2JBbS90MM8uEyRkyS6ecu3q24rhCZNzLAf4YmDAKXW9NwN/OG1MfUHNvHH
TFjpSiJaiVMcAlU1zxtaPw9GOKJ7mzMYUBrIsEX1Aph3cJMwPQoEMfxf6eI145zYGk/lopqRleLV
WvIB0fS+jK2HsopOaa2/1g2gTZFZZxMBjtkVgh0+1FYa2hEssigPha++wlS8sRHwcPNQ8sTzgDvO
us96GnJzqrWuMdggAGzAtsvAGJ3QjFmgWhctL9PEq2cxXW5Czl0B4+aIuXPM/LljDg3e+ABf5pgs
A2pKxnaVIhMGeoNnAit5uuosO17rmTrDDWi/KiHK9MKp4k3bORztICTmy1Acjd+0k8zJ58B/Uabs
GDI/V5ZBujpOb/hy4tsJKblbD8OubPR8lU3o9a2gehsKoCNKDS2Eyfd9ZJuHsCzfgIa0biBFdjfm
9U7J5b0luwxEFXcDrgw+j0Ssbd9m2Rj2Vlb6a9/sdmXM7lC2b44csAJmKc9ak3UDqgER0J2tcRcx
bE+D3NNNp9lAVmicZ5nRiPp/g4/6/82+yjL/yxPRMnvI/9rTWH7oj54GDlUmDoZl/zZg+H7wABdK
EhtgwuUGWrvMJH4/EC2qYJykAgv8gm9ejim/H4isf32LXqflQQ9NX5BR/2DyAFnvLwciMNALhVJf
/hb8gT82NWwaHaapiPmsZeFDBZrGTSHlrvKywlw9U2pV5lalaDQmxe1H5yErcG+IDuRI5ph3sa2f
tKLdZ3HsVb3tg4K2stzxonAo79PCIeNAiutAoQ/QYp1wKPRj5RU5D8aKXNV6GpW8eaNr5MJfmakV
7xqYHl7G8Ppa5KW2LjrzdkhQLdv9dHYMMExjrq3LcKaRPBZ306Q8ULfca4XRrQSYF1fUOJKU6RxG
9gXNvTXsvrd6Rgmc5MMqiMVNGcsrzhEPsm84ktHRXPltcurLOsFplH9MNfVcKNUNVU+wlnWm4YYb
zwhwXqoUe5HRa90a/cw7aNl53QofA8Joe4FoBxfvl7pJaLrQGVf0aT+MheKGQ3BQO+sMW8rt1PAw
d5YrVKi+fRYyTJH9Aaznl1A4T4puoe1KKZc4dLVG9pBEoHbreL5vmXn0nVpeqj48pbL4kEJd93V0
43TlYqbNjmWQ7dVsekgamtBF/yFqTGxCmSyXmSklX8QyqEBCXmlpsqsapYTFAUl1KuTal6JzAR3b
jHfKyZ0nRHl9i/A4pDXUOpw4ipglKxOTAv0SJmTO9Bj5svUWTgGYVHXatn5MC2VUmRRLPA7aruvq
s5/W+LJENJEwUVcl/XGzy7atkSLxM1KQp23tNo0BwAXNllbQwA1RN+rCf00YUSXpqKz0DqtYPr4E
ZpGs+DOZbSw2Y86tQ0hjPNSUF1EHMZoDiEpqgl6xcb5OSWKfGD73ni2abiO70Dymg8Zimde3IdXs
pWyz4qDKoIe748True52YT+ijDdTnQ6axYggU7e5ErWblOf/sotsbBj6XqmaB2EYO9HJh6FvVTcI
G7FuG6leaqWMj2VO3yoAbO+FBl1ov4+VVT4unFRdWYzVqrgsR01eR3JxtCX91qGLMw3BRZYg8Rgr
+WJriNSolqMzEYODS7W0mexs07XNsFbB+LLv5a9TU2xkHz0WAbxUp4UHHHI/Yxr9Z103mdr9HXZ9
WQP+bHwi/BE6q40BEdxcbLFLefb9dLLUqJVSxVHPacZJ4h3VwZDtv6skf+KE/cklHPy5mk59oQog
5D9eYiqDsQHdgLinee2Sq6m8y53/Qlf+Lf3iy/rPVfuqI5P4r3vU8g3/sUfRXEfHDfxf/O6E/qNo
l/wS7W6Hf9ByLTrwf+9RS54p/Cs2j9+a61Tmf+xRS/ahsVAROOH+lsvzD/YozWG3++75MwRqbxXX
DPE6jAB4hD89f3054okOQu3cjLqgJdfvh0lnewJiiC+g2pCjQ33cTl8sxEa4UPU3mCTHlo7Q2liI
rUz39G1bg0Di8LXKRY5STNQrey679dj0l2TfNGvdqYk9KTpMnPlTGAUeGOGbRI+3+dRe4N++qUo6
83E1dSunlA10A3nMMwZbgWLh5HVwcToZ5KrBR0cZfzEARdMlhVZmjtnZCLSzOpieUxUXFqVOYsza
fu59hGcJdsQ+HLcIMD1plx9AHm66ITAu8sDfknbyakfTymlmiqSsIImGnVMDyrwywaGttdJ3xYgt
xyrDh0HtnpOx190wCXeUVTlOWroRWQjdu6VL6iKav0yy6iJNdAB0df1RYS9ejUpB2ZDa54jBqDsE
1Tk2+vJizFoAqBG9eitj9U3CGimaCPzLxizEmkbxTGCQPn/Ysk8ue916myO+3NLPwmvE+GIVNvXX
EJDCKS7SveEotO5kOW3DvLHPDWuUZ1kDd60LYSAS4+MmyGJQbOfhikaquY16DERmDZ1WH63gWgQU
L3OJE7UKAOpl+QJsGwakWZkG9mlK452mMX5Xokhu43CJSZiB/psjUF6akyhZfXXN0Rxfi95E7DKl
v9EHLfXqrJXbln6Gl2vxERjEARMsaD11307BvI4y+8OfY3MVYzz2lCbiRNFNsaf61rRNOlo/IqbF
gThs8qy6crZtbCI8H+tu60jQuBnm6DUTyugG74u97UoDH6Yq4p0Qvr/uYSniz9SU61R19FU280lR
27OGm8Lc2AH1XAxCZzUVQekpoKphzybRhUGjexvI8G6SzRXW4dxjnD0BmCxfi7QBvByaVEGUehel
QwM1YOdgwrp8RZHMn4fGiO9zuNyrZmFbTgvlUo6M75HNqWfDZhYULjTMiO8d4bPS7ewBh0446NSp
FgDNZCFpioWp2QeZshNtvOkM7LR+Tm8cQu8qW1icmk79yCgB8BmhVut6YXaaC71zhqMZj92NOWRY
9xEOwnmU6SVe+HYH/PmjzedXtAfhpi1pe6UEJJ0iQL6uNpp4Qitzb04DKjHF6rHL5vqNBDMaOUWr
rMU3+Gj4DUQagSQd+FtZswLxIKQ709hhhQl+ulOVQUXpF5guksGLfKGcDgvv1AF8ioyWsTBZEMzm
Ay9a6KiKjsRT0+57mvL4xsO7rIovrDi/GqzGVRTr1BjPviUPHc7oR4ZZXwezPY7oBFY5pihMEN1w
7KC47xxnoSrUHH+CRBwlVwvBsvW9/lEBPXfVOT2JQair3rEeZhvZTBTPeFWb7L2xIBnBud8X8XTN
Of6IShXZS9hr6zyzkZ5FiCTGPjTW41SMqz5ihoHbdp83ePOsRsN3PHEL1So7d0pwm47+syi6J7oY
rIKi7NdWUh+iQX0ZE9Nk3KeBg2iKYKOS+qSCVqwSvV7QiEwBZxVuQNOf0I1+6egBrzkYXdEOs8HF
WvneNgx+Zyti+vdp75Yt+ptY7OAj526v+5tYFNWZQ8u0imHgr5TRWbdj/bUBRcfUPloTUWA+AVnJ
DK/Ix1Mu27dCt/Z5ZzxilTX2UUb/s55fEUYQWVCMOz50ugk5wtLWmtepaV2GMauMUyhMH+hPOArW
30LdKZXJUatCnhgRfBEN12A7jqlsmL9F6WtrOzsr1y7VoNwqerUNiCrgntLOVflv4yUkkcxtou6j
iawrsk+AGhTTvl0kqd0iN9aTa/DyCnsBAERtOoRtep2hZlWj8C5F3RqaQGQXuWuH7jWNWreTqEVz
v7FoDMw7n/gMDnecV0FnoJ2lOPzqd0hU2ceUadvYsrGZZuIaD8z8RkR17X07EvzXCSc5K/zns9Hl
S/ny16PR8jN/HI04/5gI3EmTIQl4QUV9L4rHSAlMWahikQ7+UL4jM6S0/136zk/9Xr7bnJoQvFpo
/aT4NgX5J0ejhXj3+WhEJaADvVsYVJzSfzw311WT6UYv53O5TA4A8rObOriZSmO6V+Nq64f2m04/
FBxk9yo6Bm6LMVeM+qEx/HRdJco98Ki1MKaTMZfBymhBUvhpSw85OpuQNCbfvqKDRBKU2kmvGsQW
aetp0IxjkRVbUPu7LpZngEo4vMwZ+XeATqE1h1vTILGO8vqrYuYHhBVoy3s9OFkLc1IpE7IYKsOb
JD41FGHbTIv2YkFEltJ+sErtqpHp2XBoBnd1jrBb61NM/tPWH/HdT4ZzncbBbQDQP8ebgLQddWOQ
ci6ZWv3rUAQxgoSufMlbrjMZ/XZWOL1o2G0VU91lSiI2wagSjpEOodc6kcBAGJQXnQgST0KeRroI
Iy4JKzdKjY1Tpa8Ie9ftxF+97JttV7GIgzGOt+OMDt4SxD4OyQ6lpjdiY2PiwJhXT9W9nIoD2O3o
QoVn4+cTAR1L489PIMmA2XedwbyFlG9S5NXMc6EtUD7WOpBAc58PmBZAgiKda4x0j7Py0qTC1fKc
Xaj1n5vAvosVmyVR0Xb65H+liKPNCBIfjhp9QFrhK8kaSicCSmDoN6zimbibbKdZMcbfZzmMFj0o
caalOzQUlhsaDLCCmYSGImr8vQlfB8lZEpPbARE6h44xh9HkVQR9AOxO3oglYlGvFuG/Mssbp1Jx
DRgJxa8NJ4Iex1ppVbHpByYCyNBkdkrAM+zNTjF2waLBGBQ72Zc2u9Yyv+kZHa5MacUcx4y02tVN
UDB5A3lzoZrhOxIJqGOYJi/ADiLZS+t9XQV3jWAhFa3c6UqJ36Fl+wo7w+sBwLLnFIfcrpeJ00dB
X3Wlz8NBjP1j2UwwmufooZMVW7LmaBg5y0fUfgKAKbKSfDxmmdDd2o6BothQiYpg2w7GKZ9tXgnl
oR1U4RKIyASq5G8d6Ge26G0HK9CICIxs9KRYOUmzjS15TNG8MxVpn+eShBuR3DtjyAAGGWcgK2Pb
T23mxmoVYdIqmk0U5i+OSLB0K2w/AZ4HxznlqbNrjb5wB0t5j/zoHpBK5QZKgApeinctKh8ITlkr
KCLRr0r1pa8NT1GVJ6adsFhbGzs1elUV8vG1mejPbUkqpGq9W3NzmIzyclb1A/M0msgFDjvEHae8
zrYpASVeaZkHUhTcul72axne9GhoVkk0PUvrLlE8fbIPZRRtHM4HHLQiNBelchf1KJvaJL22I0tx
ZVEzE6AJb3a+myvEaoIpdk2tXWsDMCX8JYpi7uaG8zytpIomHhi4OpkYqDgn6sy91SeUJ7DJde66
HJpDb43BNsnmZ8fs202Lpca0d5VRxwCK4oBJXXXshnnvlNGrNEqxIgaHrs7grMoovm1T49Wpw2rd
jSSO5hWmXIXySM18XuIiHKGbt15WsRaunDkdyRmRU3b53x1XsP8ISfX+n3fc09f8vXiL8p9k/i4/
+N22y1MKOFRS7sslS/LPbRfSK+pA7GaI8cjwwvr9Z0eCLGBc4Q5dMkl98YMXDRW/JlAd/EPvuWH+
KCFYumHG0oegM07j3nK+ddS/DyFMW/DwMlDOqoIrqUU8jZbvqz9QNzFUMledJjaGGm/qCRg5pt2y
vnHqTLmW1uK+ItErt24C0E/2yiGNaN01av0F0pM1vREJ2S7o+Gwl5aRvgZAWKIrseRssb0aDhWBL
kwQKdT3Y5MVFo9eXirOhE/GYl4l4C6o0cys5lpsitNL1QGdo1QeLgrjg92pWpXMql/UzjQzsMgH2
7znsjYshty7iuKYloNV7I6TB0HTKtpPdazYi9eoJJKQMyyWqP3qqynQiQxkXlGV46IT7SzuHp50t
CG9H2Nq2njAKTfTuISCNaA5tikhmX56NXp/BYl16szYAjxubq7jJkU1PbfqEBn66VdUvEcU5WOfk
kuFouObQcx3PLdlCUj1Ngj3eRiE9ROVbEw0b02YSQTIaiqneGDzLHudtaw3RRW4pTNS1aNzDnhJe
Y1RasiIYbkBXLdALlbZccVuUs17RWjGQSsU0ANw20jF8M61O+oKkB9Tb25x1/Hrsxbkow3DnJPgc
fPTGE47/OdqgBM9ZxrQ8TZBmYZaqfUDAs2Rg7I3sqGtwYwqesDCc0TDkpX9rcNktGrlSeDzY+T6v
+x5NcxFd+KZinyKd0OZVC5w6gVENqlpdmNVqFz4RtYdRCpx1ACBlNTSgpVRQ1wn5Vp4P/Fo4hKBh
FjymfkjVHU/ndCFlhyCzw9lYV0BNzlMGnAzvO2az2k5cB9EIQ2JzX/fQt1kkVbePp1uqJ24TmG49
5F9ODStrNBjt69MgHYxwAEGMVSs75u91P0j9REaicjGhs1ALLdWuDKOhOcVYOhDNCkyLKwkag8af
tkfaIwD7eNDOiE7NTV0Z1cHU0XIrRQGhjkDJ2J67LYHaz0sTvhUMFHCCNxfDuJD3+4DNVffty4SW
npI573jUjmacXRddd+8r2qkpmZmupFJeTpT5eyqshb037xSDYUbG4OFOxD4JXvbXVhkPUWodIt06
TmHheBaZltU4eSYcLj7z2Z7yo5Flz4hrD4YaHbMQilPUGf4ptwGz0eQgRSwMbonYCvZVmO5rgkSS
iptkh1gChqXGpEGygu72EnQwW1ozOo89KapjjiZfafuMY1rlqma6B9Xg2XX9kmH1H4pEdYmcMK2I
pSXbYO7ZlARiCcrxDePhm5JBQFjGbIj6wRlGd1AppcMW+jOgq3s7FWepd/fQlekH0ZM04Uo65oVv
zx9lpd4Yc7e3OqgPhN+Z5E0Spz0eDIW4zr5/CU1tS8PNg5xA3J9hXzVJfmMX8t1BjYBQaLF1Tje6
Qhsmq8oT8NqNkuhuyT0mKTRydbVdBVmPoFKghPCzt3ma7sjtpSxJ4j2Nvqu5IEoCKL8VB0sG0o7G
IuduLp8a4jrLx8upmlw5T/vcX2So+BBmZTt3yc4yhUvK3M5sxo1iiMXIF72ZNrW2Uu5I7ECGYHlg
Jc55KdAKCkQsEHVWcRdcSXy4UR/sRsqErFCOKKLwsEcvFfrjKRld0uI+pC5dv1ZpAQvXb0E/pF8L
v7sZW4snEqmjoCE35I8GWL+GBrOqcw2GV8RWnk3dJpHPJFeARmMw3uijs9j+5dpJ02ZVUC5leu06
uDlXS3+AWe/GdkgZq6JLVrgN1EuXkKe1aeMrDZpwzzRtN871o1BbnBb2rWmWj7BrbwKEXF32Tg7x
10oISCOjurK0aBOZJWP9aZ0E+sLKdQMtvEYffCp67QbPyYeqtPRBEGgOGH6E2ClOv7MbZSOQlMdG
cSSw7h6HE+AjygLTKD1f4WQoug2v4mXj2BtVay40f+KCaJZLvrAxb9ZF5ecrfGxvQ1c88keB+fRp
jDY63aaYc5VF5hjJ9i9N3jASVA5pW+zh+3sFrIlVXyebEGY6XUZkJqA9Ge2Z1la2/Zesy5/bipKt
tPYQWr0yxGFatPUup84RI/3v2XC2JMY/DrX4UtRk6Sgq1LoR00nHd+d4AU1EqzV4Oq0tSuDrvEgP
5UyZonS3aWTt7NE/Q/je53p2gX7nFBbAkfIu2pDIdlX6CwCOnMLBvo5rik51fCrNlBQ5JqTSse/9
2rxuCCvJG+OmGxH722pz2zEP60u67UTRrHIjPaZGQN55hRUAHmm9LFRzQWOwPcja2JbEqCFrx6Y3
uM2wjGFysHT5fQ3RXJXFQZF6eFZ8pqAB877bpqGgm2V7UQP2nAeAM3TlFSV+p315H7cZ5LiBIhkd
y5NusKnrCVJh4m0i9d3M6EC21SN8pj2ntjPrbeSJOmGc3xwIR+S9xJGLtEh9Co2m3DhacpdhW2ew
nmwTTb2KEzvG1MbkFtTNRtrWzicHapBKRjJbQYcQAQ0KLqoKuU7S2DPC/ApI5Tb2RzKQpvdSoWnd
xC9tTQID+x9vQAPOqrc8yDpeHSo5xoUW7B3ZnDTJ1lhmd71iv/c92JJIEI9jbSIxekxVWX8aqIbB
OG/GLD8gEzrUrXEHK5a9hoSSvMGmRU2uhINykUudZx1On870XC32qdKeZpySTV2+dXbtBTHVhZ+O
p15npJwJtr/vjrT/V8NMgzAsCSGJ6ZcDU+HHpgwSsbruolw5iwxwaYLi/UZBuP/riyyIox+HsstF
TIbGUE8WweaPF4G5KxCjqsp5tF9r4J/d01h8BNo6w2X86yv97MD7/ZU+wZYKv5jU2edK0r4M9aU9
jlRt3hfmQ9w9R2AKfn25v46C+WC8TUsCxCLV/fTBJCxTG5BBcNUrz213qIK3PH379SV+9ok4LXNY
5jLaXwaKvmmNwpnK8IphGdFksNi9NETiEGwj1B+y/a3WI/Pu55jnn3wikIAULczPaRR+joxY+Ldy
Em10FeUB3YYKDMK2TP7mM0Hu+Pw8/HCR5de/K0sa+OeG6XORGFNtWx/JbPhN9v6//hifeo2QknBC
5lwB3q+5sCKKOx928K9vDV3TX36MT3e/TGiy9VkTXY2KtgoN14mu9AjBrfWErtgkJ6pr/uaKP7s7
cKexlxlE8DHj/vGLSyI7i3KmUFdWdV2JAIPF3vI/fv2pfnYNjZmdbpIfj8v801fnG5pigneIr6BV
eHDhrZxWTnr/64v87KvTLARjyNo12tWfLlIMoWVF0Rhzf55y8xhSKeIaIrHsNu4OOiDgwb/+9RWX
Z+rTGsQS9+cVP90sxodOXaoTfG3EOn3zBRLM3ywG6o/fnIECzlAtneAWfPEm7+unxacpdKbZo5pd
xUc0ZHs2z1PhGp5xHd4Ybu5FGxLGNr/+VD9e8luB/8On+nRJyOnZSIMsvupNLCxYkKXDolDsfn2V
n393+P0FO6dhGp/uljljd2gzEV/5leOS8Wvb7d98d8u3//nuwL3naWM4ANLn04NdNjKCLq/EVxal
72RLTpvPkU7AUhz/zWf52Tf2/ZW0H18hKuKixtkcX6nG19C+Nvzbav6b5e3nlzBM5iwIUZCr/HiJ
CLm5rc9BcpXnZ6MbVyNYM9mZf7PV/ewV4mH74yqfbn1S9yFjf64SJW+psvM1JMz6xkhIx22vlARC
5d/co798LCkYLdGaR/6JrlP/dFSQjm+VmVWkV22/hfOJRKSab/7hg/bpEvTSvt8Y8j7gCw2r9GqY
QZIowXpCI/2/ucSSlYBYaJER/XiJeBwzJaXSumrSN2VmchD9zQX+8ijzGTAFo0EzaLxhEP7xAiyd
1qDmc3bFOS/rCDyI94vWnITKbx/kv3PQBVT8n7uy7kv60n+tX5q/DkOXH/yjK4s/m/MsXmpdgxCg
f9+VFf/ioIsF21GZh/IC/dGV1ex/GYwoHGHCRAa/YvFLvw9D0TIvrVS6shq+YJ3p5j8Zhi793e8W
PHRiNqvpQgT91hh2rM9PemAjqOnt4iyYWO5AdW0ZoiwBrcOhs/rJHTrZHMcOj4smZiyCY3eVxxDm
tTx7rbG+rBulAc4eGp6j1dTSg6nhmWIKiEgJf4EySATDNil/4AfXgJ+yqypwvoTGjIu01jR3FPOB
YPhjbeg7uAx0BBTaSlNJezco4Gjap7mewOaCnN91aXsRZHG1SnTILjbVWKBbJ1PqxPKWHcWMfe0M
VrLO6whjeP2CmQ1ClBE89JlRroaIzEVS7HuGqvPJzK0vo0+Avappj05afDHH/uAk6nGw0jvFyE4t
kC+sCOF9XvsMcdSMKI9h8UjcQFLZqIHyJKMRBmWwaamGIESXR1xFj8y+L4nsQw9tjNt+xB/KQ0Gi
Lc7OfExhKlmtF5kEZBBhlK61GoPL5FcTHba883o6LQvW4lxDH4NHrzGExFqGqfhySHGhBvOgbo2k
3cRmhVe6j13Gj1SEcr7SfPNNtuVd0k0bArdRBwdUljpj0jDbRzJrSclsrszOug8rP/BKfXo0IxrH
0WCUa9SMNJRyMgnxEzWw36xtW8/X9ZhbGzVML0Y1/RrOpPParbwHPaKS1y59F8bUmdJUXqa+tRvt
4LYCM8+sEgv3YB/MKY5dqLibyGJGS9/Yi9o59lqNZbvu7Ed4K+Cuq6VHXkRbSNv5KsmKN7TgxTpu
J44PlYqWmORxgbCwnXakHsQgp+PXuta+QtBkaC2CXVDplwGp7WNfBatJ9CQrT6n+oBmYPwQ7OG2a
yC3y6iIzzH1qqCejCze1HeBuTiOyx8dR0lBjTG5/IzPnRtd6Q7+gYoZ3Z06GGsgleVACq/hMq3tl
YR7XlUq6FUJkx1wsytIHP8DsY01wzk4uDvSiHl8SR7+LRLHum8wTS/YUjy7PkfOl0AjoJXqkv0UC
V3mRE4xeYnVkW/lI3NXF/Q4VDjujkd44PXYd4laXMNJ97phHv2/UVba46NMg5r2w0s6zoR5stMVt
b/KmbzDYoeknCP4wYcr3Medri0u/xa5vL7790WRmgcGmoQlKd0SZMV3r2MTxHJ6LgjclXhgABFZd
AcQ8hpkQ63LhBJgAA9LcfG4BCDTFdaRDtq1hC9h25u9Hs7gc0QbgjxsuHFm8682SHwuZINOz0rMS
0n+VUUnW5QIwGIwF21AZwXppV+Ivj+dnuRAPqMHifQMFIcLCBkGQx6DP/JdpQSXIqTr5Czwhh6Iw
lvqOFFUFzV74oATJ16TjlSFTmWcbBkPjgGVfoAyOJjXS7NO7Kvc/HJrobjDy3BFMswXdE3j6iFlK
KXGK90GVHxU5GicVDAQetOpy7CdSQxZGhOXM/nqktY3hgflFUMOSCIf+RGMOvuzCmUid6DaseZoN
PVD3dUrcqu5zx0ef4VAyzdeFX5qkk2GeaLJ+dkuAFlpVdygdebHCmRYek4XBJSLL3zDfxkJQtfoO
vify1PAiIRCcMVl1nenaIQWkAZX1zl982qj2aVbj3NbmeWQSVDB1PpdINR4TB2icZzZEULtNFx+6
ridTq8X7IEEQ+AS2xFHzZDtBqP9XN/5v3TiH0V+cCdBb1i//xy2a9uUnxwJ+9o9jgfovmijsLY6q
qkjEvz8WyH8RvwdZ7U+N+L+HtRwL6FxJqlQCC34TQn13LEDvbRiONH9juvwjz/dv3oE/66BFPu4w
9uU4gNOJf5Zjy/cHYCezZmcJ7TynfQTXzK2rQlzQQNcvcpTasRub2T0ZN6yuo3K0c96x2MjgeBIU
G+YKGpg2vkPXc0js8bYX43HyQZyUoQmverCJsY3mCydqH4ZsurQybW8Q/qJB2AfODcZ/JLi57Ex3
JFshmllTMgS6oEwd9jCHKF9N+9DsgFyqbzFxUTK5ZaRJr06UCgSnvuni2IZoKVCdN+HTZEI/aFJ9
8pBQZmtRl3e62ZHU2ymS/RONUzkLd8Keq5Og49a5/yV11HUrycAEj7E2ouHVBMIV+xUJKqr1BnMh
cnszejSrkQGAZe610cZUi8JXKeQjwpatbZWz69MBDmE9rrQm20mTaUdf2LtmJNpw0nvy0/vxdSr8
16wdz2CjK/xW7VNE3Jib6XSTk3GPrjjfqCOp9HWPJtMOyvdA4LMd1fyxLKBbQXrU1lgzv5q+ZPaQ
TC9RafgHpK4WEFAJ8jgwPSW31RuJrH2tF36IxRY2RQGUczsMyUE1qp4lgLMY0tAa32bcu7NuRSxe
VrFJJ00waRpnzwbVjdBqJkBB5g2TZXtcJ8AwNzYIFkRhyuS2sAhWZIuFKMoLdlYR4cwVTXRgF0y3
xNq3t9Lo5wfwO+G6EKm/SoBgnYCTEKoxJMlTUQPKQIdroirKspumVqur0JTR3lbr8Vg5zEv6KS0u
pMm6uWi04qNP6JPvKcV47Gqs/wDAmQKMdqTY68FQKlKaBNYwPHXh4q6Dj633W5/+6bMSO8GHbrN7
ZnSfkPtMnZeQjjhl8H6amONkv0QnNnV0UMlSbCFXjmQrVmQsNmQtioZ+uFJ1l/USw+gvgYwEtkLg
WEIarSWuUSe3UW8JcKwyQUDTEulItqPvs/kkS9xjvgQ/mksEJCh1aNtLLKSVERBZfMuKlNGtpX0L
jzSTU7EESqKc7x+QQNh7E3IxNDaCJxWbCMqGLMr/Ye88luNIsiz6K2Ozd1oID7WYTWakhEposQkj
QCC01vH1cxwcsljsrh6rfZn1otpIAERmpPsT9547qVBK1n3+pGIq/2nwPmU3Shn614e5/5791yWP
PO3wv4Cj+cKfJ7n5hQ89rRpOdg5Kl5mV2kD9z38Loozw9DC6RFbzfzk1P2U3SGQ1jbEZ5jCF8DD5
qv9r8KT+xXQhZnGS2ya3wN9LWuWK+VN7J8m0QfTzOQY0GZX8do53QZ+02VIYpwLdt5bG506Yrs1h
3vzyypy+Xwy/hjIaLh3pLz+I30QNmbiy6GYZ11q/95ECMDA2iHREzADmlgx7V25YnR/zOAdOYIRk
bKHD8/WuvPLm/rxOK9zaMNcrQEnrMaeUTRs9PUOD5/l8hrS1SfTzSlissYhvexrbigBEN2K/rfw7
UZvdVvzAtVFlJ8zhDGmcgnS82qh9Vwyc6VhP8Ia4ZzVOWQ/n0rrQW0h5lo3nJS22gT1ssfeScUbK
jd+mExsa+Shc58KTJOnxaz5FBBlg37VuqSBvRD5dCmHBn9cUih2tgu16h8Yb8PXnIWeIfg8Ll0xo
vPO+oUi7EPWvLbFsR9k/em7zboTOS5jPsEcp99Ke1Mdsjk9WE5zZTh5vYbDsCaRodm2Eq9ZsmvvS
Dvexi8gzi6IzzZOvxRil2yEHn2kPpOJk5VT5olcmFCrZrU4og56jJVhkciVdDuY5s6hsTb+205fe
YWfdEvU45f2q1MG31P2OamJP6wTQkfOWf6gZQ2Uq8EIZ1q0g/gNpaO1i+H/xOloYIsn6mluq7WVK
MB/WekUKqeB20rx8uDPNJNu1CzH07J0LjFY1ay7dmS+NkRAOFt0YUHVwkXp2qrMo2ZrmuFtyeRGG
QbjqdLnzBl7baESJLWyyMqvae6EE2WNJuymLZfbNpX0AdrqswxY9iNmx6R37g26lg9+Y2puWoW0K
x/khi2NrN5nLlTFBuWqjZGDN3HzTM+ObMWZQtid9jyn2AAZPB7k97nCkXedIQQngsM8dk9W3nRVv
S1I9RU4brXO7vAN2DeGgdtL92Js7bFh4hIMthhOv2fCIQd6SyKJ1RKpfC5bJzXZxBTmDlj2RKqhN
KbCW2WhAzMixLnzNGbckeyt3STMds8xiZj6jiQtoHKT5DfHvIbb07bDQR6K4qIaHFG0WHhgUtJAa
gWQgw9RjP02Mg0kjpGMn61SX7NZfQbbf6Kl4dz3ephoMc8nTiOtpoB5rOzBfo4/wWj8Qz4h/axzO
3QYCuqDCYjHM0r8dYpViPD7bidOiza4uwphEhLaawMTTqMj2vEqIcOra/Th2T0tA7zN5MH8SjTVa
iQyLj6xZpCd4d2eZEIclw64WhVEEq2PGWDjE3+xxJstuTMzV1Os3UWfvprJ7T4G5r4k3wPVcIVbY
wOI7RLI5Szuxn23n65RoL4s1p2snm9vVjOJJ3hKTihurP1alitlkeVM0a2NLx4rMrqOrMjcjjM3B
MFH8RTjflmrYmU7SbTUdyVU4yBeFr+2mcvQDwRJQjtWuJzVjLsfnpkSdG8/yoes096ISiazvVHkU
ujCD9qWR69n/d4yqoe8fZbc6RbkuJKhlpoGAFJQ/4teyu20JgQ1mez6NZGKu5C44TrflxSHpVuJr
8Vht0gPem1VwhnWZQJqdefjPx/i/joz58cpS/BmuixPpzz++CXprEHa/nAbnaxUcPK2D2vMiyvxv
j6b5PZUFhLAkW6Iw/fPPQb2FQGwalhMysYgaGtyPFx6Iq/x/fs6fb7/vLyevJ3cggCxUer+NwGtG
NBb8AO1kW2eNfVWZNO3y8T+/Zp/rht/fs19/md9+SA8qqjVIDjsN2/YBwN9m2GvfXCDEq/Ii5xlb
3TQbHKVbY39/6frZ6nK4iLcP7SbYXCfHcbWnuD/vfP6ij1zNLzcP//nfpxKp/uWZUhnrjgn4gnnz
b/++rAezU8yafsJ2ewnraqNd6I/hEas8wwx/Xh2f9d20vqy3496y1vkZWQbX6E62pL19X9z8sylQ
i8i/LiSfy+zfSLfV1/ysIZkGaCyzECPonMsW+4OfNSTTAD4rLHUR7H1Wgz9qSKYBFFqsdqxPrDpd
288akj9ina3Zrul6rqrG3L+zJGBE/adHSE0DXD6nJgsHduS4ZlTx94tOApRGUmRGMl1VHYK8yu18
J2juOgN3QWLMnc8DVmJf0LMrMBH5bdsH8Hg0vd/3aGDWOqvHEKpbh+XXvDSpIplvUpbNTvJuLjZW
GE6Js6geXr1+BFI4K35anU0nD1XlOs8LZ+0RaHwnsVCiKnNWXeH5QxyVV6SMsKEfwRXroQOQnWNt
EyJR81tdv88XTDpZZva7hBQHDoKDObt3Yd0320kmBkUUiaYZruo1oJ8Xodnj3hvdh2Ix4vtajiVE
+bnYdkTLrkVaTGudl+Aq1gn0mLTO29eMSq/CEShcl8MtHyvcT1loevuqYJgYhs5T2UJhlch4Ecvl
532N+dkTz6MF1LnDfk6INfP7iLCLXjL/DdE3h8MxbcQZYwLgaPoF1FfQYF2pKLTEIxZp9GIN8utk
A28ESvoY1uljYxX4TaJwXAVhfNsxdWWQIpimFDrBEWG4T5eh3gs7fzdDlNZUREe7YafQLQXjEXK+
t52wwm0UjLj8reWZNzoBO1/dliK4lNn86i7x3gyY5crK/BbM7Um0xXBOq9ygIls0OmL30lzQai7B
cmmVvKVdNfn1PJ7S3Hw1zOaR3v5NBBUEvIg5ZjZdEYAWrZwK7auuFM/siA4WShOQ2RMJ6KGHoZrF
vpFLxKv2OSWruykdM1hZevRchcs1vIOzpEYWKaYFDUUBMY7nA2qAiyn4ykT1br5qDMrmg6MiI5wo
PBOBXIhr0cHjZxZw18ix3kULibV3JQveeUtaMYxvuHIX2pDBZCWt0rEobbjlz02HUUs2sH0IlEMr
VF6tGdOWq9xbrfJxNRYE1cEF3iIxedVGBb9f+b6A+vWbEiuYpjxhdrrwIiufmJhxjIXKOzbyAYdt
k+1NbGWZ8pcNsTxMynFWKe9ZoVxogaTGU740iOYj/BW8akYwUunjXjOxsc2zsWfkYcFIsO4ajG6G
crw5WN/oMy/R52eHEf4kCH/8cQ5GOYTCuK+6magu5aKrlJ9uaiinlMMu6KxzLWb75Sn3nYYNr8n6
+KhjzKuVQ68uY94lPHuZ+dTqwZUYQ9J8MfXJMd51nz4/L6eRoXBdhTM4fryAEZ5At6z4qPMxqSoH
Xj5SccKxjpMzVodUsD3JYl2/YkyjJloiuiFvD1SORPuMtu1yqBmAJZ69MWa4ZWQi8JwPpLMG1XQ9
6whQ57pKjzWpCQyojGCvMTwnWKCUuzkMPLA+dXuo6uIsjDRkz2FvHls7XI51ogsWAbW2Kevq2hYE
Ey/pfBRa+FSJ3DwZCUs+Tr/0IGLpQYmojgIVajiFwcZOqucaXfZHW+S+F/ExvnaS5H3BfsF4x4PV
872c+ef+VAXgX9+fm+y//LIBhf5vBjF84Y9LlLgSUjSBjZuSzvPPI3X9i04JRF6wYevMtCmBfozU
ydhEYMjkxoCX+rv/iXpcMlUHbs2S9u9t2hFe/H6JunwfKnsNqZnDhP+3OqwOg8kS+gAKXZYPo2Ih
D0CRBaMjxP1tcxKLIibTbD5ZElsm4C70uQ4oTzeHiNKKoQCcB0klXehxNFDMrNQcvyE+ic8v8K0F
Mus2j5cYmjaQlE72Jb5Tj2AR0Bes1ZbbXlGfmVVHjNede68tDnRlBUcfkG8HWDQFdbhvwEdjk3oM
FOJvSKpb3H1AuEXs7XUNXamkkTS1M8galyVWCBVPpa+0JtG3swXOsQJenXEOzIpmjRX3jG3sc9AZ
x86u2rMI8LU2hNk2rG1kaSMsZHAjrzaj+32niNnNZM1br5ze7dJ+d1xIUwA3er8FtO1N5lOBO/dY
9SRMmsC4jSG6jhSdm3/mm1fkV6kFm8EcHDTNdgkik1SmDaX7LiU6cGeR1As/YRuWcAYCNoeLlb/b
mb6ZVKpvmVU7kKPf0H3djHYa7pnDA6odLITh40JyaCxIyBTTFTp9cxWTHRyTITyoMGHkq3iQdSCi
hYoa5rDYZcN4MO3uJVdhxLVJLHHPYmNRQcWuNj+4WTK6p6llmFx10wIdgpbSOwdJ9bH0YDkDNt2b
NukloWcwKKQyVOYxegdSHTyOMeCeZmrcQ0oAr6jAnwYpigi9zOdFw7OABdPr73o7Cy+JBquOyyc+
NBLpvrLKzQjQTad4oURw2Vuz8CfgJH5QQgC8qNiWTMHy0Qy5Xyubq9wqscQJUZ5CnEArG8supvo7
R7DQGRN48z2DRfCnsi94iVmwBMn0WFnxNwfEWiCQchN6SZXW4Ax1RP+VcE/WvdJ8Fkb2wniKRFDQ
q7MnS/ZDyd7QkBEoOusEplUoXmut7MNF6k+wXLGNnduBc6H3QF5daK/5UnxoCv869K6NGQMkbJWG
1mqAEqtDi7UMOB7QY7OoO5+hyaIueeloNxmykYgJ9LKGO0t+5v0Eh3YeYVmSevMQ5iBqoya4C2DW
dgmvUGWEcmtWzH1SyLao5Z8DSLfIeriLQiqmiZtj5cTaK47Dm7FJLsOqAQrgkRbgDFejLm9MhdLN
g/i6ga1ru/Zauu4xpELs7fGsEhbehe5BjfvCwoINZEHjW/YmzN5KA6xOUOsTljJ3l4Qix0kM8IJj
jvu1FpRxCmASTANbqbh5amAFm95wkZrGIQIj3Cue8CBIpq3N8VAp1jAPLNghkd3A5nmtFJfYUYTi
xXaxlCTmBtqGi0eOOpzdXw7Lkyg6xThOqjw5FE61nlpI7oqFrE5cTim93KRyOJWEzqwMgme3Pd6b
UINhr5PNpvEScCZdm7N9kfTeG9Q0ni3HvjdsUIiyTsAMwJIZUJf7pTrimmghI1y7NQA6Z4rsbChS
QwsIytOtbJ+jn9AVBzrEu0687PTYL+GtrslXRzGjQ8O9SIco2IWhEFvm3zdADRsgSJRbs+G8GrGT
bqjmMejB152hRa/yGP8DJ+k2hVdCWYv8tyZJN270u0KRrXvSCN+qSFzainpdtpwRcfwIUO+q8aJ9
brkfCyOkTYdECIuOBpipxhsYt5YgyLBd8scc4lV4sRjhjK1tUOxc68xymztPodkbBWlflvKlXGIP
ac5gYgNfngDGTitnaF/tTtTrpW9QdWeXEfR3cpxfJmjwusLCm0VzzBZjg50p2/SddQ0F/qL3BKtJ
BZVPoMu7UOY1wYqvUeB5a0TQhDzkzoRJHwfsdWHUJ3CNSX50FQRnefIUx76eH3JrvK7G5MTzwIsw
9fc55PvFYhXYKaTUoNF0OQiTJo+EI3j5ut0ewdCeSW26L/A+BtI62fD1Kw+cq8t/TAq9TwXKWNMC
x+/ZbMLiBER/oRkdOGLbx6q6L6D4Nwrn78D1DxObQHiF+rcU9B/yP/h/7HzLQiCASMdD8RkREKPE
wRdrHOBMxFjJiBIoVahAqjXAuVXQQDgxZlfRA5/FyD9VmcEY4q+rsosSU/q/VmTqi36pyDyY8R5g
F4aZ5MX9MtbQv8B3NRgnyO/G858VGfsvlNeSvBGCU5k3UEb9sRlj0gFXzyS8xlWZNn9nqvEpYfhj
bsdQQ9VgFIy6znyFevG3oUZd1hIqdBKdQLhbgBDSkTvFcq50UkkaTlYRiGWTVthuoSYhEfB8QEYy
AJdCzMrW1XK9ux1tPfQ+RrfdN6Iwg6+0bIkGGavIxBnVZhscdczB+iZchAhPMi0AMjAFiUjUBg0z
MRhZrCVjl9N6ATsjp3AURmq2bWhHHaR+yBRz76CjbOI62gN/Q8ubJRaSgslprH0dNkzei7xFZViP
WXPFEdBjlTHn0dmACykJ+XBtX1u6XrxbIKR2/zz634EMPAz/4dF/b97ev/2bZ5+v+vHsq1AHi5bD
MhlWfFfw/hzp6V8MWhQJYdtR+Qz0MD+6EeeLjQmOuhZJMHAiNf//ofu1vzAYM3n4TUIf2BDIv/Pw
G5+OsD89/S4DRdXdqFQH9fn880jPFMaod3WaXnFtds0RahDXVjzkUjy6ZeqAzLWbfEbVktTXOpra
3sgPS5Pvp8NBCwA8Fkr/hvu8cx8wdFP3x8Mdi/AGVkxWRk9BiPXQ7uDlc84b67wNrmDMJr6VwHus
DIuIoDG/KdP5ahLZgFXJ+BqgYV9bTXpWaUSx2+zUGDI+TKJgdofFvHenh0Ubv9G63DDI5xuYS7UP
JwvKr1vuSWa6JnD7YygbY5MnOVWJrtmw5ruUzWx+EtJE+qbNnVr/XbllcM3SmY+Nqp5Dhj8AItz9
YFcG4koEHbbxLNEhYS5ngINqLoNmUw8bz5LJnoIp23iN45LWE9hAT6KnnsAdv7CqFCQlITGLykEz
VSJa/xmONqqcNDC6IVkPn/FphkpSm1SmGrIa1joqZ42ZZXamqew1pyOFzVZ5bKVKZmtVRltMNsc6
1MltQ8NyrFWSW6Qy3QqV7mbXTrdrVOJb9Bn+xmAEID2BcIFHMhzqrAWmM4F880BuHOxgIuQSlSaH
csg8c6sGpXbuzVT2JE/W8VE6IJ8OoHhEujWIVx9mJ9Vf9dqUfs96zqmT5CLi1u8DsO8dJOKooBmQ
4bLVCB6WiQdE7hOqZzbpe1YSSdSm56WmhX7ujLusS1nhWdZF44mLVhg8SHnsW1V2M0U0d0bzbIj0
PBkJWqqN/I6xJYWVQnJV9Ykl+mWRT6Q0R52TnqxkjtE9oqdNLnMrSpYL3WIkpqUjB3dCwDWZBwAt
okOfI9GdAgzHk224m3wJ35aJ/WsA5xKfrapxc858yysiSA/WG5LfZkXCSrqejK71zWja9DpT73y+
D6du4g4oLCzyCLBnMj5WAYBk+F2572pWuRchkgfNJZ855m8mfN8Il7VDdbtONRUYZHnp2l1QIjEj
HHxt0i4da9QQQFgwJ6uUEkrrzmwWZGsADMYmzlqid3PjxZ50uIxzeTs6CD29ecSSW4DDq1mZ061a
hH5IwjMc5z0Pwm90RRl9SbamgSEHCU9Tb8Hzngc4GEzR11Ab802pA3zAq+xtXR59TZehX2hNF/qB
RYW3ErAgCHdOkN8fi7Yr7/65P74rixju/PX9sQXO+O9oPhpf9eP+0Fnh2Bp3B/MsB6g9l8TP+wPf
COc2Aytb429YXBJ/3B/8fwh6+qdy6HPQ9eP+sL4oOwnZfg5qT3aif+v+gOT3+zTLY4DukS3o6BZL
RfO3TXWaQ1+dusC5JFn7GHb1UFx0ozHb6yQfqopzKe5JuBjbdp1HeTg9lAxIZ7/E0g5SOImeJ7O9
zaN69qO2SNdj1++Q1vlIABBFaIWBHg4sUOklryafRXocfPizaGu/WKxLCMsdEg3xXHKHwBN+BKmg
p9cdQN9bWK+scSbiAEnxzWiCQi0W4E8Kd1zVQw27VoTPc9VFpwDwln2Kstk5WYWLzkOSvg6XDJdJ
6VtBrhV3tiPMbUCLN24gtQfdVS3aKH7omWGQfZSOj6nhRdCT03IfR0lCuoXWXIyJPI69dWOFcgaI
WTxoS3bXS5CgZVS9Gcq2YkdwgjpyT5ouoRU0X6MiwXcv5KXdGzhRpoc+iq21ySxNDMIXOd1TqNwa
sqpgcs0jGvLCkfBsokfMAS4SlRT9vHWbuuMVqByC60X8DVzOXd7Ld00SD9DmvCiW2107phrL45bY
j3x/vJpV+jKbISOGMd5rC/KQWql88sy9qzPd2JZFSrSB2YnVlBj7qAtXxTA0fj7GBzMCOm/lkQO1
lSK11dJiYyTwz1JtJpbJuA5UHsdiRozDpbHnttfXhpvCaJ8n48BlhD6p175ppee7fZuvBTG9bMLa
HXEIX8OoPLM956wlV3Ydu6Bh2TLdOgGEVC9qgWeIbySYbDNtOlRBdRk2QHSBQ/tVs9j7vFDazaD6
6EpEIXbMJdaL/G2MPPYrM1gSz4Lx4Q3O3lZTUx6va6wY3apzy8vOAkEvl+CUeSi4QsLpwki/CSrB
upxhBCDIxlqDe27XPG/k2pZP0BxZboXdseMd7ODnW3UU7yaLa9XW6nJDRPIhJ4thqq1Hve0uKbbu
wCel61hrH/IwuolkFOOx6Hd6aIsD/a65GqLmZnaCO+i210vd8xHR0dnO+kiiUxzPvt4Epz5Y9nMW
CPTH4q2pReRrkhJktujvF93LMG+hNQ6tFj2yJmE7zMuxrJyrZC7nbelapC/0BSSaAR4UG89z9lHf
MsiLLMUyv2njCzYcyJQ152wuodpq8FlWcwiBhw+AL/Xka6NV43b2uisAjE8DYV9rPupkZs25vY56
84Pt17KihbrpF1Y/vbNfeGVWjjMtK1mU1GPpcG9gsdwLydMZqGlYm8XvcA8X5grOkzVatwbyqcNQ
pjRJjXFgwm76MNDOowE6tk3OHbE4Um7HOrmKQ9u3RXqTZ8MlRYNAb+YQFZqkrOE8Soei3toZo9iR
ACIf4dW8qgv7DtDngLtH+wgM+aKZ2RvAtkM9moxIQkCbgTDeZSse2sTx2EXnD/nYGZCo+tt57vRd
bOfP5SwBApUwMxlJRq08OnKyr83ErRw/bgHMzFH9ao6EMBhWzafcqVa9VV8Qc9xtlpTB9LC8Nqbx
XLueufc01nyV55yWfgDHSOHjywa6Nev5YgX45Y0wv/agOd1tVHTgb4F2ANsp51XvpAlnrflS2fK2
yzt3PUYuJqc+GP2mp/ROqqog21G7HDA6bRCUvQ8LKWQEU18kiTH4Q0DCQpoW3poEq2zl9TXAMo1h
NxBr0nn4JOutNPdaMFqX8USpMrT1hNrSiHzTqG9GiA3H2cXepi8DMBU2maYbE19pzn5MoUYlFFUX
FICHOQ9eIBdNfi5kvjEckNmTydNaNcmbTQsMED1ZNlZBLLQ0571dNPWhrOQ2xQvnR46dbV2XmTnn
4bIrkvqlca1t0QgAxMGuZNp5HYnYpjaPPSITWWujXvS29BGlmg8H13ZhVFunZo8ZmudI+THw5Ym7
Y8VAxCpCiHUwzPMx6vtvKcmi26jqzKNRkWpnYV3apFNY7KOiWO6XMee9GWextVSQNwntnKsGLh2r
Gw5mHiD8090F9fxwFmbeMfCWMxEv1Ig6o+EgXa6bPPAh3t+6wrHPQYgirusxBjI6PVV9dFdAdeJC
1LNtZTLC6iPRQMDp3uwao0WOEnk3uWhnZx0nBImahHVn0amLkfoGi+anJPIBzlnOzC44J5PVJxXq
NKDO35hJran1MYAmp7lEAvDm4uXM2oBdjuMx4beFRaCtRQCmO5NjH6J4W4hN17TxQe/Tr2UqTlkT
36bQRdewBe1N0ug2EebVe7Y4HyEMUBi2svWbWPItwaf7Y6Y9V9BXVkMfXwZej89Q1wZ/rBtQRUEK
cDTX9smUhA9wwchRDZ5t5tB0MCzvs/yjybtnaBDkonWX1acQs8vfAvAHG91DFenl2QMZ3siMY2SW
hhDX0LQ0X2TxhY4bgkSB9CzDybGW3KkWOVNrPDnvxJrtnT44d4M5hzg4H0G5ewruC8ereMzn5nIq
DNUg5vmqIY+EN/RYt/oZMSzfROV+jBOTd5vlU1Fjem+Td3TH27Yvu13rVJu24k/HUjxoiXa+hGd5
wpi3d7DdpV+9PnmNWg7fAaNM0jgHEgPUUwMurbWbI0hPht4pb0/OQCphazYtPM9xYLBRMOS7qZEb
iubnNk5C/jIH+IBGIW7I+ZFaySqLj92Oyu2FCuwQTyUJ8MyYzc4GjlXm6x7Vi127aB3GR93km1dT
ibkmOUtZ+O3MvHuTGHRDJyjWFRY4zcmxARYPBA+R2lOEOyvS8a+45iWi1vtmHJnkt1q8FnRnVeyd
zyw9fNOub3oBQcFJLB2ZQr7ry4mRvpFsbJ00PQazCCfyPIRBxUenWNAW4x6+zYeaX80thk1E3Umu
T4x5xVTVQ3NwzOg4zslHpFvxNhzdq1lPduWya8kIM1wQioWvT+euSO+ibEBtLmW+RoG/S5KB5GOH
QsZcXk0XBuIYvrp2fC4NSEZQoyLerPor/FZAc8aYWFzEQ3PGx+cuVIMNRt8PeuXQOGLAaZuNi1Ij
2xsENICV8gPXrK6Lz1GJVsQ2vkWQUuIxGspSo3cs2ubIvGGExRePgztsy2wQ8/XMu1NoVix8GSBc
DRcQjL7rpUfgZ/wrUsGnTTS7xQvZhZRiK5yk8otUjNtYlr7M094PhvIJBPqyKVwoJcMc6hsUWvdm
U9yO0p62rQkiP2keZexY8NJ1flOieRhJHSJHfq2K6TTFHnxEh0S/KIamS93VrtNUYkMaB31FzNHE
dcJwgZ51WIHUsnn/1HtHbd57M4qu6LxudLnKKulPnXM5dPGV1zvnylK2KmBY6d7st54815eZ6qas
XrlbiOXIsnVauPdtHMtj12vvSzAURC8CjJsHdy+H/oRVPKLIW3YTrcSKumb0gSB/a8Z8D5VBrEmn
WLY10iBZZzdGOkCWw9Vt5eW459w990YU2rPFZUfow74f+EQnBj/QamjAJeC2Vkcx3pLFQTjGrjKo
dj09fUlreHzRVVph9bLm1ThhS2uIgvDc4RLNU812t7vKreQbASOoNXW88XN8WYbapeXNWxQplxK2
HVtOsdR+04jwSCDnYzqGhy6Knzunu6+8EoUymim32U22c4sgmy48B+FnvMTEh3qt4GTMw8MyO8sh
6TPox8l9pLYiDrXgJiLW8IxT4UXmJeC3ZWBAVCdnU5Riwx+SEvPScjEOM95kW3+qBg3JdHrNNPpr
Wrn47duOJ8F7zmDYxWb0mI+sj/9p6L839PS3f93Q77L34t9k2ql0uh/9vKF/IRVOqlggkPifnfnP
ft744pmu5H94dQzkK3/080haNGY2P+Upf9iETPJ/Wa3wZ4aHuFnRI/4GB0K3+U6/qITVNuRT5Mn3
dAkcVt/uTxLPYm7Jtu1d78rIG4ImLH2pMFqWYXFtiiIyANUxw31h3dtcY9RERZgPcbFewMzbiXfe
FIy0qjx9TdnRAmhcDUYXbmcpWcpVZobGslEAwcmsN/3gXdOmfkC7jNdOQ6R6b+wEuRFhG9Or1DuN
PAmXXImpEnsRZ69WA3TTScrzMBmvUxVFYXeNT7+3dzRjr9HurkwGjsSZEO1FjgV2qEuDCig2MICO
Kuqi1+b9rMIvCqG/JqRhwPW2Do3rPFXkZCzN+MZ5eOF6TUZELL/bswpw61S8BpPn92Z2FaqPqxr/
KKchYRxsc7a4EYq1Meh7iMNnZH0NDDGI8EhN0WzA0xQHzSTuuMcM67fl8sjE4MJVQSBjQiRIo8JB
DEYCkSR6B8j+tlEBIsgTnU1CpohLtgjynsGvVdyITu5ITv4Ivlaq/vJqUsEkIg+sba7CSghnOhDo
Cy83BoWrY+zwtVEOhIsQc1Iphyi9b75m4YBzY77OrZSIT2AJkZF8m/PBZVZJEkFTBuhSMEOY4fy1
MHry5nX9ozMgyZO6gj/ynCUU40cVyDJ8RrOokBYYRgluVrrziQSXhSSXXBTjE+/nWWe9LLl9AYls
jf+eBJDkSIr87agiYZoxTVof/0MdnQuj6LnG4jQMV1XG8gCXPCnNuO9DyzlkrSs58YdoFyM5neDN
1d4F4/Po6KTlsDM4+w68LtCBpQIFR4Hr3QaEoaBOnPUJ9UjJOGCwQEOjfJCZj8Y03CFlRAvrFI1x
7mRZz8YDErpYUu3pn+Pw8zjUWRf99XG473NCk751/7ohU1/380Q0v6gJpolLDIYca69fJpzyC2eh
zu5MwyT/64aM7bBk6EhAxU8w+Y8NGeFqmobnkjXZj7no3zgRf1frSZcsErbXIKGxcGKF//N52PUE
3zilNZ567UhaYjLflO337elfsgG/uy//WMIpf4oGvZZ1HrQSG5cKC/JfdfU6kowkSdvqZI54FNuV
/ARBR6ZRmKdIa2o+/6U9pddLGdtwJKPIeeKEMNJr9gzzOoK5ZmCGrtbtVB7qaDqPg2xjm/FmAWK2
6heT7UR2CizhZ6U4zK1Hok9522kYtOYIHmXt3Exxuw/mmhVOPm2LuNN9S9ZHUY1X5Ey8ZnP6VZC5
1VfVgeyhJ2RplPNxdBV27cY1gP5FLKT1qfmgt9lVWTz6GSfWLq4lonn8UavOGvf1QI3ZO8m9w5bd
bNf8ek+hrR00D321qVdss4p3NuAkCk9QSOf8PajAa7h5hfBdm0gKa5ttlfXnAahy3y2UjmU0OJwd
7XVqiyNJkTnDreJu0MNjYBj3zcSn24i7xzSfW4De4xtJzcdZNsW2TqqLIppG36sJOrXiwFoHZXNL
ZC3yLVl2m3A2L8j5Rj/ZmtfZ6IXccf2TSEws6s604f6GFW50H4kDhtgllZJ1WHkqSnnmjI1EvFPH
qyyt4S5rE+dZx6k+JT3QvcpADDWgZpbV8qjnJdNTBqdlL26sUaAMM7K7MQcc67nps6gbuTLQRXtw
FC6zbtTXqPeOrYjxA+gg6XU3PA+7NzMptx6ghDgfjbWcajq0rHgMFhCdQU2aRxnqx8btG78bSDd3
rLcqRrM1zg1sJ/nmtjni7CT+cHPK51C6i193Hg4J+0PG41qr4/e4Zkiot8k+MpqI/spdl+xSB6N9
1ZNEWzeSsTB22gP5pEwESZUgmxldp4lLTrbduJFC8wiq7U/oke6HsCf8KwNIaEaNml3fsksjf9oJ
+zXR4ptMktEEeW2zqNPZc5Nbw1SwJsz0kzc8phoVezzbH0nivVg6YSEsoM2tyTpzJYIovShy4qnD
JCan1dLuw7m+LaRVHaPUvAoJBvejMhp5WKcXcud5esYacs7I6+E4yzMpK3g8ub+HpHiXxA5uh0a7
T8OMPgWmyyRw5w9hx/xKfHTCfSY7DilSGq0dU2crwWrR+1/2zmQ5bmTbsr/yrOZIQ+sABjWJAAIR
jI6dRFITGCmJ6PseX18LzCclxVSSllbTvDm6JgsiGrjj+Dl7rz2TmyYK1W21KdmVL+7AQa8rnxBV
WtbYjKtbIxiIOCVMhA5fmnxKZM3eGTP0SaENt1Wl8gwqv6Pm2EVJSYZ1UX5jRk9bmiYVyi66acnQ
7jsGvXe63hLc5UPCFp8XdD6jxCk+ZAXnVUm6rrvYXiqNtCIdLKthEMFjkkwCiGu7LNZNCnSdlg7k
6xLnpXbUGyOjFpOow5p1ydpc6D+npjDvCU//Dk+4WrGtVXTFFaDPJdmL055y9lEauz0oZdBK3UPQ
EXvPnnNd54oLkOi6ULTdoEjXxKg5Qgo+q4l4aAiuKRQZDDtqGNO6nLLwODftBmD52renbxzWyNA1
YydpyGiF/r1OAAWZTc0Aky5fXfYn0yzcukqQ/6PKZUoyMCXimB5bEr1a6Ty19ecsIjvBVxts+uFG
rcY7qfludNyJvTA3mk4sIXPTIUUm6w8UsXE3SZIrM+X+bAb96FVVra7jAC6UYZVteUo0It4LHebQ
XLlmnwcgMWL2rVVS6OW0yoxZ87BS1GsrpS6zNEKIq2ZTt8P9MKSfm0p6QH+rXcmdMV/ywKs2dVo9
VqqyC2vt2+hb52qeTnZqM3rN6GIZ9PycqOqBdMYpkO05s2/1zJqOQRbeREHwxLRBWg9Jl+5rDooU
my2m0Jw+M7k1D7nKrziEt1FUxI6tSRdd39x3SjHTZtSyjb8YfaHjNwTe8exZ2wl7QCelZCegcTpL
rSXdipiW7TTZgxvUBEWzyhuEBE3n6K2ZbVnNllOlraOLvt/2Sjt4dKaIdCDl2htyOOt9WgJmb+nY
04IztgM0lS217CV4k+tGD5fDqRf3S4Eq+V+jghnSLJRbSu37WhlvAqMWO0z494VNgAeiAv8DsjCT
01cnnZeHLh47gEiCs44JZ+/Xh65IuxIxWNVdFhZwJOUcW7eCd21wWog/Mof+WkUs1+KkRwawgvSF
2BNzOXW9Ms41TTG26tAMl5bv+snnaoLi/oG/86NLLP/+6hJDWqXp0KXDZcnCnLALhP0Xvbx5Vb9d
/lmSvOY7/PYiiJJkk9oKvdybizQhNJo4H4ZLrb6tisMonaR+9/4l/v6z8FW9usTiQXz1OVo6uIGi
j8Ml6QBZtZmzFvHOOTcf4+mDKy1Gi1+rrl+vtLyTV1dKw97IBOSzS9xCKyVnVKVedBmNE7fPLmYE
N+9/sF/Nk3/eAyA+DPiP4J6Y6P96OURJhBO0ysAJ6F5pUfSK2yDcT9l/Z40/kVsKzJJ/PmvssvJ7
HT2mvzlr8LofZw2FA8XiqEce/tJhYR3+6L4oAqgWriA2gxegJq/6oabggKKBZ6X454W46tgpfqgp
1D8ExiALnSqnhBfqy784a6DO+OWWNNB40H9RkaGyKy3Hjjf7hEnaez5K1XQcNSb8GyWRIZGUJqiT
Z3mec4NSq8UISqeDaey8LUSSkLjnjzE7mNCTa1+lR2qhPt/WSm9OhPiqX7FWNuvC9h/hqtygSssu
UeChPp2FutEMhVQlXW6OhRDPYYmOK8nARSk5Qb+MvjTXbIAjomky4e8pxmGmT7mT8rSl3GdGOK1H
gWIijoP6hNaNcTWtf+bWyR5Fd+5gfJ02tUE1i8QQdwvMkjWIFCbxqEZOej9dJEZ0sIrW32dRmmwS
yaajSnPJorYWxH4kuIBG22Sy2PIYrqjx1kpilk418kSsrA6Ehi49pOzepRjzCzPsbsm7kyl26I/T
hy/XgT1JpzoWX9Hi4pspTMXDb/s8x/EXmu24CfReyXaDb/qHUo+nT8yYfIbC4TFoNDoKYfy9DWb1
gbKX+TuKkE0vUkI6SBFCo7XAugJA3ntsFYorBlm6QC0oH4wob70IfMoqqDtxqE3zygLTeMNJaDeE
061UIv8q9Fz3ZKu4MgXDQpAvMEplHW5awSluTph76PJAj2pKpIMS4vs1pzo0HvoyQOgga8m+9Sel
9YgRniiT57oW9Tnkt+tJuI6Ok0LNjm5L8RnUx/wl8hNtqT2XROeg9qBzYuzKdlJvJbVLox1B1PNF
3ef2OcJ+URGeaDGQsPkS/LPNbILZQGI/94qdHFRkGkqQzTewy5TReVm0/4nol6izf9699t/r3/SN
l9f83LmQBJNYARDEZOS1yH5/7lxIjCE7EbSKoEtoL5DgHzuX8QeyXloXivwiPn6tI9b/QF6MExGF
pQART7f5X+xc5tKh+OtZStvYpoqCb8yyhOZBM+PXh5uplAGW6Lk9meQtkwIWIVq1QjV1zEq3PbO3
HlG9DpuqJMNbmeZYly6yxurQHZiRGj9EKvqEc+gXXbWjUVgS6tjFSCHxQ3XmZcmBcLjMh/JUakl0
y0ARS0moke8UN3PD0grjL1pqzFdTPpEOIfsqSnuqRn9C0phGjqrP4abF/hg4lUG8+E73pQx7k9Ka
afOQhTiHSlS4s8psUutEEzUbNR8j5SLLhrm4CWaWIL0MP+ZQB9PHs7WAtrLJEHTsW+HUxRB7UjJV
7lD5itcnQnGHsZo9ORH1ZyB3nbJN7EnMrtZ0Ewxx1Z5HN+2YjrK3L+6CXC8lxBzlLI7d1ISFU6qF
uImEWESZZsm0lL68p5Rh0t4kWlrbrtDL9DyqIlS9yuT/T0FT3M+DbkNXxOAUE3QXFuYO5ZYmu/8t
0Zdmpk5F9s9L9KZ9xJKfPnbN30uM5ZU/FiqrcSF1I6V/WYzLkvtRYjD7Qe+PYJPgFLqay2zlx0K1
/gD1hlIB2zIa/Zd/+lFimH8shwZhA49D5wYN7t8sVCrNtyvVki3szOwHiD+B578pQyWOf0mNNv/c
EWg6H2O1NOITfPHl5m6z9NLkyEkYbGqcDEb53SK4XpTXNRJswB7FKlOyQ4U4O52Ki7TJr+G6Oe2i
3tZi/wiZ9IiOgGhhBN6BhpIGpQlpGsPdTD/lZS5R0DXCPSkKNHXzRsnoFoQzAnk6NyzUDmpFGx/x
qTBIsHSAXn2uPKkSqu1+wC88BL2lIHtCCXNBI6ElyFSR0NeRRi8IoUGeIzj+y1q5AuuxMyMzY33Y
FyJFZ32r0ThE650NQJPsF9ptvYBv4wWB273QcPs/ybgwcs0XWm76Qs7FYiM5dmPV8TbJzX52qzqQ
KxeQNL7OdBifOoGdZ6DlZoIXWbfh4Fm9XXtlJMAnFb5jDtV4FVvpsNG64ojVrlqrDXHThPGSWYBK
L7Q1t/D7T6rsf5bqeYff+7qnPZHjH9ZRNPRSexgH42z3YlpZpVi429eQ1h5LqdinnSmtirY7dibs
bJNYNytEg1TbynXfSTuhqG7uVyeooc9gOFaZNGyVqL0YRLYN/OpAAXPK1PEE9vNJnpprO0TWEItP
id2jajS3vhKcRdiTgZyWN2mJGS+PnLSUvcForuvWcrRxQKuo32WmWAG3ebSt5gJjc7e2Mmissf2c
YwvVU3joQ+cOheXR+cRo3Rz9qLm0YZ0yg3eWaL1SUtzcDE9zkZEiiETAmE/ESIJKVYGHFEd0Iys9
y0/8lusyHjZ2GJ5ivzghDd3PmrEhs/MiNhjlC/mLasQbK2qPpdY+BQVhXMtPH5i0UGoMmZniWWI8
4MJvV50tnzrEa1MVn2qhXoEsWbez9MkItV0KHXSVdmzISbZroHxYmMFtv/pu60yz8vSOyLZP2N+v
21Da+KVxgEmwQex6kmPAFGICI6+PTz1vAs2M4iS5Arh7vuAJv65xIgemspGicT+M4a5o4AFaU/29
NtVrHJ/X9YQ12Q9648o0agSGQ3gSvn6cwLme61SOd2Tao6Kk9bz0oNCqrYyxOoPeOwwKt1Rn67u0
byTaLEPplI39bQrGE0Fw6Ea0A53Eq7Hi4TWWNDTT1HS0qvqCQ4DbTxOQOXyP4ei0kTT/C1iA40Du
8sbKuttk8F1N0kzY+/T+VZyqHATIJ9MywjGlsB4XORPy31A5Qiu51mtCjZH30bcb+cX72L6MS8lr
EI6SElNseaRJa6kx4001Ksc27rzED9aGTejzQGg2dwe/lool1O6ay8oPp3WuN1jqiA0Ip2afZtFZ
95ODVkmeoi1mpepUqpTmQ5V9LemWbdRZcpbOixP7xOZFrbgyUmtX4G7muQ14Ll98Ov48EiEed+tC
VgmUCcG80D4+cCYBs9BK60wt7ltTJz1dBawoZfOpU7QjwqdvQiMEW7LULTl0BsEqeJTzuL9GW/i5
JTwSpM7Wkrp0k055CYt9OBo2I5leZwcg9gO0Spl3jlr5TKijstrQgjwUlTKsmN6ck6T61Ava+mE4
3gaCMHW4icyuWwgzyZmgeaYBFWQxrY4Jos9y8p5Cm9mRNBxm8kT3IQTO9X/P/j+f/e8OMm9Iu3/8
n9Vj/fRYP/7m8f9qmgl9hDQsHfUG1lXaZBTKPx//8h88/KF5q4aK53Qxov54/Bt/0BnEBogkyvpf
l8ePxz/NB0FRbdGBeCGT/Ks6fekf/FqmL4cEFc+fuvQrtKWMf9Xy0kJFYoKf6aeQfNbmNI4Pr0qi
3/QH9WWQ++YKi5VXZY6LIMUwTD7k6yt0fqO3vjF2p242XFUtn6dSJxcivjbq9rklKLRGPuAAr68c
Rcp3YIC2dRW7nYnCS0iCMFtUW7kJN6yRb2MiGvSm/Cal3PiqfejQgKyZCAyrOUzPSg/z86D1bcVg
hyTggfXX4/NQNXBaVTZttGKaAYbLxm7EdPc8GPJR0yj3sW1FJiENUfqtUhf8NOJaV2/oOtRyIN3H
KXNEO9G/duGYbVrFDNZ6ElZ7ZWlEw/c4m6UpualV39t1wClCXSgGuj5cxiPndU0t2o3CQHc11Tkc
2+hLoqoHmj6UHNl0oICptmlebCEzzU7tV8D7U0+boyOQbw33fw6CbACGoY/PWSKd25G9sMlmjI+k
Igdle2PGSMvkcqfBRU1kaZuX3UXLoHRtdNPVmFgX8YzeIZhrILuQkEzz0Vf6AThDvA1syemS6LFt
fDAKps5mYW1pTJwlMikxhTmhrz6QOXyBfm9LiPtBzyvDqdX+mGIdFJnm1mW1xSvJwFK3P8fR3G7R
elzWfpGsmhlHT4TAt1JbGtDxhS7pt22KVU2dCZHWZv0m0shuC5sxdDsr2k2MpVZGzAzKj4XHmJHQ
1wVRq9vuAKiX34INO2/7DfTzC3qna1vv73TSphHznCCCPTTtfE4i/TrMiFTt/Mwz9f4YDvWumIZd
MMbILyfSL+1hC4flwGn0RigwLNs4vUOR+VnxzTvhd5uiFhfWbGyksf6CDYTKqbU9SWseCj486fWj
J03ztySFF2WG69o3HC0ZD+AQLGJLAoBoU84ftZDz6MQWB8L8wirYxFH8EPiL3bBp443Uddw21fNU
xFtrMfto5Zeulh8kSb5pzEVd6cdOP4LZMtKnOfGvkgykSDgFB85yxI7izlnpknkbzva6QhW+DqKA
eJUse7IVXIYS8h7XYrJ7tJZJeESyjCOVyBsNcRPb+n1XNgEUFSyIabmsnni4kZV4L3Xob9VqqBwD
/gmhJMb1aBHU3U0MlQBvJBThWuPaaYmeWgfjPjTiFEDEdyNDfIY7GDA/98nQtFukurQFilVfio71
Xfc+jq9J4ggeR310GutIHCoKM8fmq2BWXAbrWkpIXEXo4wCDqCmzJICAM3EkeeuD+rXQfhNYJe9L
sURDTypNxHoPHehc6mWzyztEAoqGdEBRq2ZLvz12g6g74MRHppqUuafMhuePsw1vVlVWnZ6WbtEu
6Sg8189mKqdk3UjNFWEeRJP75Vdjnj7XvvZoJtWW/e0Yo3Be2wpR5VMqHfxEJc4gxauUCGNct2mR
3RRGR1y6ghnpriPweejRn3G8O+tUiewsa/TiDjGnnVOU+d6sTDZEhLKKOVzlHYKAkiqdPeoiYDic
IomL8ZGSQHJIY8kLjfAop/JdUvdQUeSLwQZ3kY/JFz32jVUTkXpg+WKvtCQ6+3pkPpUDMQbzXC3u
sGrIbhMlGzYM98DcFtFaI0FpHVpzgiYkqo+zlZw0taQt0VwplWgAD5A4ToQwObmGw5a3UxW/cwNN
1Lt06j8JqbylL7ymC9mlTlN3oTsN2CnYc7qLQRbFl3yRAIyR9Fw19F+nDpQUl+MAhw3lTDVCJtSU
mAwK47D3SBCePLb+8M6vuAIdyNs80yIiTGT7opvqmPNDcMpphq1TU7N2XaKGK70wb42qQECvEzyF
UIJ5+6T7PhFz1a3wp1sLbuHCIcYh1BXNxugCZWUO46adLImuEOriYqqKdcoLV3VvdPd1lFqbBZSP
OyMaQp5KYYvwmEIuGcqNZmW1M2XFw3KSzIdoM5qT2zUkZE3mRVJNn+QwdnvkaisS7j91qXprYZXZ
j9PY7woprp3CT0Fy0ccC3SM/LFBNjkp6dd8JzHtlwYApCbnRTYLhES5o9+pCT/FVY9xYnWTTAZM/
wrP/Ol6wGFJQYSxBI1A1bA20wK8PZzXLmDoEcX5qFwv+OO8MMVwNdbN5vwp4GQP+VWb8uA5KUjyo
Gsv+bRHQmnOWBCHnyjQ9NkL9xK50aQH6Y7us0Z3Y/ABTuu3HkmCnZNuoIT4ulZ5/vmenOhigDmM7
uQr97lqA5NPCbt3ZLUFY/veiE/jXWQL6bJ2EHFCu/ezp/KaA+e03RDfUVBC/Yrx9I381sq6IWjvJ
T0OGHn+6leNsHRZ/puL8o+DLXnosv3w/Nupf8PhgdPiOuNF//R2aLkHdlHT9qQxCuJdC32kFG4Ps
oxcgTh71qdTfS2VaXBES6ky2vBusQV8VU8lGpTGIiDMGyHN31YWafcORed0ViNPBR7JKBh7lKjZS
owhOkRRdjL7Bd66ybkQGhWziVH1tKOljgm1MSYPImweIl40i3BD5jpu02lepVjdLoxSyY4Ucn/7y
uqg0L4aWBaWLSKopFLtqVr9HOjhujAXdYs4dzfQ4zWaPkGaStrIyxEc5BEI2j11I3dRi2rJhdylR
8NnvlOy2Gsh9spXgYGRLUpMo2y2uELcveMQpuOmnGD5TKatn5mY5oUvoqBQtPfjyY0e2C5pQ9sUH
S2KsYw7Kdor1h5T4djcHvAonCDI8kttZp/QYWWYO6qLCGaVsC4AMJ4QyXnRy/5iQavMVQL4nY6cC
SBQeOdKiKWmqTaQ1NgzJ8ToTIj3ZnbJSxDzuK7M5vn/PkfL4m/uBBWlxO1gActQ3PTmiMgtywwy6
54r6qNlN5sxln54EsEpEb+GXoDHApzFoUwROuwhEFzvqkW8FFVGYmFs1aI4t+KphVo9GYd1reh5u
msyoNl0n4zk1VBhZSLNWWE8sVy50cmh4qDt4SclJqCXqETYiOStyUmGqG7gFYG7Dhsj4oWtWLfOg
nMOpyOavdSEebbIm171SEC2TEQOnTtTOtLU1RIOigGdKt4xk8UHcx5ZgsqZ+E+a46KzYBuwUG994
C1/1YPb1uiq0G7x43CFYISf1xujBlcXhTRUZ15lpe2Jq7y28KPi+C9kVVUctCH2j6YaePL8GN1Ms
ObT7eXII6VHinliXtvagaNK9EvYVMjbA76EpQ9CXRiixBWqz2pPpnRBqRPPCXPE0cvSEVDbLGvYm
cu+BnhCP+RKPb3urMXKwrZEgsulRG+SvlVY/5qZwwcsdE4aPSZ+cC/SWZi42Q6FjSiQhLoJTrNrR
VVJKyW6yZjBhkytS38lKChrSHDiXsBh7yb4aqvY5MiWf0Z681jsYvC0CKCaqjoqZT1HEQTSaF9Ga
wS0YZC4qmPWwVKhJh15awSStDHcFXOBAIkIi1HEoFxs1kfYZT/FwoPegpAwMmw0q79ze6Xh/F5Va
6g8bEkHcvM5KRD8VGXIMOEAR7mcwfaaNunBQYPA3MpvuDFIypvNlQCrEaLQN8nYfDNUhtwyq3jaV
zmk5lPiPzQs9gGCH8RvPJf5orYzA2spoBsvhKDWcElKoABqsCfqUhCIBYycObqCOOaE5FTiR9a1v
9nelTNZaJh+FgQxw9PVDHA7IlHyfPCMVpmMDOBkfgJ97Qz87JXXDtpiAcxANsK17qhCzWNQVPjIO
v1Y+eLR9sFK1N3MuNbSn2C6T7gQaEvn7Ef/qeuwzsknOSX1UOLG8vze8UcMgOjbxYv3cGbQ3T1IV
LienC3aGoviumN/6kdbgIQ/uB337/oUWWsTfnkkMLXQVLqpp6guW/PXBfWjavorlfjzNCrRMBKLN
YjW8NZqg2IWFxD1HMGZZRjKxIbJytCo4IyLGawHnFtQVf3fdKNIzA4erMdcgDWrdZ/KfzoVs3qSU
b5x60NKqi9lpdHJcIVkbfSFC9E4K0/I66LBvGWHYemgI9wYuCwoLd1LkYU2J5+WtZt7Zqn1TzqlD
J+Wi09pdpKl7SKg7o7TPQxLsax7bppTsExX8MgMEKbTWY6ncZWUNO8XfDaWyilN0xK2RPc7yBGh6
CB6q0a7v1MBvXbXRgg++1V/7LRRC/Hyvv9Q3YqZE6HlU+9Z4ssYv4fw0WX9GMv1jJfHR33/z4JAl
BhQiSKZTZN2UMSRL7dMHt8X7d4V4c/9lIkvkBFrhyVAvI0whfE0yTdj3L/JGGfW/3xICOUpSxbDE
m1tvNJsBuzyfApql2n5th4ya5FM0mh/8Guqv9/gypTY0xmzKItahNH0JTH/V/priKB+CuVRPlDFf
eag5t+nGdyS3X0Xru1W+utuJdX94uo7W4efRfUzd6YkV3Ww/ytdYYHh/W2yvlvXLG331RmxkMqUd
sI20G8A/a9kdbzovuwo3tothpd4oHt/zhiHBitmQCym7d/VT/vX9r/3FVvC2DH19d74VwPlNaqk1
3/v9uFNdePob+9JcnUnoCR3vzlgfhJN59incjNv8xtjeYlP3xi373mr2CgBDDq0zx3akQ7fNveYc
rsAAB85nouFOBOl5xs7eFXukSJ+yzc37b33xwv3tC3z91t9U0JLaRGkpRdyXK8BNm+Z7uSlvFQep
i+M7oRO5+Sa7KLzLrwe32+H2HtfxBSKbC4Csax4+Lp6ub/768/vvSv21+fm35S7ePB3Q2va1KXhX
4Q6BwnreZp5/C2kzgRq2YjC5qtfTigi8U7VVv9BIc9+//rJO/v57/rWO3uw2bDXw5MtpPMlz4ZrD
sJ+lBMoDHor3r7PsKu9d582uwwxM6/s5JbIRX3I/fJXH7SCeJs2tZAjB5eb9q/3+p/75qd4eJiUY
LppRxd0pNKHI+ddlcPX/d4E3Zz5ttFIhcNKeEmOvxvQBbdN5/wof/DAv6plXy538WSs3JxZagZo+
Szalej8DWH7/Ih99T2920UZJm7gn0gi/3BJamK7tMf5go/7oc7y5wbpibrq8Iatz6Md1JE5ZMq4J
ln//c3xwd5lvdiXhB9JEc46nwQgc2YbcmrZnTevWJiaeeFBPffC/duV/fIz+9nMxeUNYhZ/MXiBb
r2sfC/KWX0Ztd9KBTMSbRAtp8nnvf6zf/jyvrvFm0aQBru4q1MeTQYSyJF9l2QddhY8u8GZLnJNs
xAdU9SeZTZtmNEKhD+6wl+fjewt/eay9uo9DUk9UP+U+5mywIrjiot8mR44I6wvGsW5w7lbZ/v1v
7U0u/Y8t9efqf/Erv7qkQv9PadWQZ9Q9jeGcXRVl5gqO+KNymHf96pIEZf5hZbhwaVbWlbS6bt3l
qX75UF1qF5zaw1VMbPhqC8nb++jt/fZBjuz3Z+ny9s6J6kFWfBadcl4e5NKq8VJ9lyvrVeLpzl2+
upBX0/5ZfuJwVn+a9riuPti9yIF8fzd+87v3UiPCiizFU+v0DoDHeaWKlb1PnWv7JA6a1zkP6sZf
5XRsN2hSPPwkH+zQH72Ft+o/7D+SjjyvPUl7kkQcOpvxN2OjOOa++z5uSzc7mB52lOfgQVuPXnIO
nPj7B/fJ7x+9P3+Itw6LBPmODkFuOpHqs0GcvIqWqm6XrG/7HaxSKEWr+QSU4Y5gVSfblJ55CVPD
6dxwB6r7y/9GXP3jjvJyMPvbUvlrub/lqloS3CSOyt2pcnVPeCJ1xs28mQ/EyK6+Bjt/A/pxV25p
6h3GtfnJBcTCT9R6yeYmIowLtLX78g39p6xdzuA/W7zOI4P673kbtdPpMfv+f//PZdplj83fZ/bL
q15J9mQboK7+guEVizPj58weyR5jeXJdsQW8oKZ/zOyxGS8jfoVZuvHDnPxjZm//wSxf5bTBOAeg
g2n8K8ney/L5617i2MK4nrER7wJaMOTr5d5/tQfqzD+BSk/K2UjB2G7hjaqrioyjY4zxT18UsOF8
5zc+o7w29QhOupMi+spZSFRSEXhMjrADJuOnui1DVyvqK8jznq3L+w6tjchGuHGNM3dbgHcPRYB3
lhwoKzgriJ+ORdRYa3p0CHUV2FJJIxCnMA5NF6np1NGX1H3rAR526loERpD90z6g39oOqkZL0Ogv
o6GlMMyliH+X93MPbk3VsBrK5DR0Zvo5lzq8c7X8PSqbZxqY3ywJSVLR4ams1fEms0bUgqP+AGDr
rp51scJ959BZtNb9TAKDmKa9hPNBKBP20JytZ2SSahqg0ka/eTZ8wjP6ufla9wrjJaA1sRqhAfR1
1cnCmpzwQvsqJ/fGdBk2YmEX0gEd6i0wixBoI4AJ6IiTvjYSlFOrPNS01inBau/qRmvtRyXS6TNF
I0DkMO+B1Yx5sgUiVbnM8LpVq4+lK/sAkGTZHl0UBumG7GnSG1W082sR1cwygqG9gq+D0n9O66se
H5zXlbB8SuItVyqy6VVT6xwDq5hZdp4wvqzEfTHXhFV3AG71WrdAWwH0apfIEOQCmevbvuEJc5iu
uDcJNOhi2YnpmYaFIDohBZrmJ3p09A2ZhifKqoswwBg81qQS5HraNU4F+5z+ieZ7StI9qzaiPWCQ
3bpCnbWl1/rUt/x8Kl4Ct+9TjfxS5rAR2JotpvzvtlQwEqiGgV48t2q9KNFkPL8YL9JLSwtIXUBd
uUqkKXJtBReEnmrEq/SN4Vlh9T0bFdszphSPSi0hSJ2L4IJvjocKKd+P1tJbVKdI3vqyzncjA8/K
sS/gIG8TNA8mp4QMCvtTOeWM5hqCBZqlVYyjsd4PZjHQvezQcIdAb0rKQa9sRery4+kMQYxnJhrI
IqbwGVmp5kHtkyA9zhnDD7sE3QU05UnO4F+Qh4HkM4tMwidqAc5Z710U7gqQIcghTpx36RNrLrio
Y1XeDnOSt24YW7TKRs0aN3Zv1PFzileSHq2iXhUKPV5sig2ujlmu9zRPEUCMt6mkkFQmk+Cba3YC
Nqr6PEmY0eWZGL3FGek24bg2+uZBCqq7lHzcFeSLwQ3JCsLGxrEzlnGqm1P8mWy+y5jx8BeCs8yV
ShLrYeoswi+w10O0u0JqQZdXQKEvcrPa4Sf/DkHrSyf7qG6tkMRY6XmI2wahSPSgoe9I9fR+xBnk
aY3EoDarl03EPvJVMLC1nwvWqdRxX7SZdQuB67JSwouSaSGU0OIEDuGrKuy7PpVGIJbjZTvX1s6q
6y2HjJtmtj9VofBduSVbsOrwg4N4XkV+NHka0Q3rOB91usT5foCdVFvhdSDXxsoMfAYJDK32hjwD
PYqpE3Mi0Qry5kz/bGk0omHPOBNIfVYKbGcg0spqitIcEKUdPcVWnn8RSYtURusjnFEd0bSVrV8I
0BUrnfEGkhk0Fw1Di0zGzo/+77IYpBvRNIMXY7y5CHJqzrEIoHlPg8VbQq83Sa3YlCN7kl8MwVWG
nYMRfiNddcvimWXQCvVy0XaxR8R+ZHtyU0bXaVCXjqU2FDIM47wmJjNeMkbbK3Vlcuc4tFjaQcoO
Y07e2E2x6xPk4iB61l17RgktauOZ0czsJPq8m9r4LOfVPtPig9GNmctEQ/W0QUtdTS4pSPTF82Ua
spf6RCfCkCu2qhgNgJHGKgrTee1Hkeqp2shWT1THNsxYteqAKCrNtQCY7YIFLdml5MUGMdBquzKY
s2/DnsldFyvCIwWIajzDa18FLY2YLMU8T5rBn+eU/0odhTPfP5c6+ygPflPpLC/6UemgTmT/MnAL
KQJgqs0//ax08C1ARRdUQYv/gCPyD3GiwLXA/0y0A/RmF6fQT/sj/iJKbqjQ+ClNzJP/Cj71Mvb+
pc6hBuPvkeqhk3kv62+Ol4qvtWQFmsYpnCWt/gRTOUXVmk+Z4oShROCnBTMpOjZWot2XAFFgRA3p
lSxpaxtgawZocmyjdWvKPkNrSzTVLitqTkRmT7pUZzRYfhqiOLjjhxCQQTEnVwXU6BJ6NElEX8YB
4RqChtMk8srRF9T0vADWgyp84qHD824BUuMSDVeTLK1HWNWQSxLUwclEmdDchIp/X76QrQs5BtqZ
vhCvk7RACrVgsNnzgeA6IX9VrIsOePxRlyaxnci7ipBXERSVDmx5JNj7eV8+McX/EvTw61uR+Wul
zDdEAAzrIou3VSxtowgkxFjnTzIKYC9FQsK4O/sUBdJX9Vjm07HQScuitwENZIarkPq3SmVdZYxS
7an34vlKacWnoW/uEHK5OnhV+8/J9n8LUaPz9c8LEbnw/2yYBH+Nmq+/CStcXvxjQarqH0CFTEsH
AMT6+cUtpGFIXo4eaHIE5wxOJT9WpEnir40c2P7rVT+OHtgEycVZZATQ3/Ho/yu3ECv7VaOXgweX
1+Es8R9/lNLt14OHkcqyFfv1fJ7bu8rywXq0H7SUlr/w15K3DJm/ih/JFLpqq1xieQevjjZz6Yty
LDXl3IwS6tuNkUaUa98gSrz6AS7//IuvwQW/fpK/X2fpAL66TiEpJYGkBkeoJXKnPgzmt/cvsGyQ
736SN52ggBJY/X/snVmP3Ejanf+K4XsK3BfAnwEnmXtm7aVabggtVcF9J4Pkr/fDUmtaqu6RPPZn
wAbmpqc11aWsyiSDEec95znYcbRLfSQrbd477ICUyfcUYJjDmrOl3w5PFVXI8VVXhistfkmijRBX
enndFbdCLhnpo03NoIuZVZjXfXIrYXKMXv6bt0J7Jxj95T3nwvrxvTBiJexks7wXxjrkLFBXDz2d
cTiQLmW4nI1S8DqvDlztmn8Fker/+q16q1t//6HDPLbAc6lgUN/GKD98GAWAh25QnekSjhQeAQ3g
3ik1dUIymMVrQhEg9fp9Qi9eM7Yrq5c3WiZttnLkkAdVmXGYEHzRKww8cKUXb2THjj7LH/XcOFBq
1gKPVRLtfjTyZGukHkbd0MU+liRrQtL7igOnPtQbrZuCoZu20Xw52PE6F4gxZKN7e942o3eV61fh
nGzC/rENs5Vo71rhno0uA9oHArXgBwD6a2CFcTAMTYBZU+uurNjG22yG5hpgOrTVXutPjpqvF4dE
/dhi3Z4UY1XLAuemeU1/SjLm24E6y/vcykAk4lcpvbuOGDhVMKtk2TlZsTADM67dQHXZ2JVp9tQx
js/zuSEhFbYBhW+/kZLfbAx/fkJ/ufHNd7eLjD3ofGM7X6pbYxfu51P3YGzdfXOJN+bU7fD4rN3A
87HYI/0eaE0Jxidln266rbq1qbVPfmORWm6eP3+ev96+73YGJnA+J18u2TLdYzXHqU53c72p1d8s
R8ul/6vXebfg0ckwZ1HE60Diyu7Gr7Xw495HK7DD39wE74IS336lH2+Cd5N1+EtZY3ixfhkZfnKV
jkE/+oSmZUtizheX8ne/2t+tgJrBGsvs23PRpn6+65nkj46TGfol4ElIy58H5erXt/XfLYA/vsC7
9w7ssVMMQtcv2yFYdCGp+C2+r/+zF3m3ynqjZ8+Ty4t4w3GuKZO90+3nX7/E3z2Sfvw93i2PE8/q
psEyd7nY3MYM7ca+8ZILj+H22wv9Z++OzjGuurZ87f7b8jd/KcEKxyLq/vvPf2y//Vm8lIsE+tMf
wB4jh173EEpvXlp8a9+D/st/+b/6xT9E1bupQlT99DWH3hG3XRN/6Xi8fBNc91//47/+gWrhPf3n
26PTp7Z9+TvcAd/1fV/EQcWj3czmgtXNd5hc7YOx/N/fd0a8/h/7IqCQyLFLXY4KNhJoGvfU932R
94E0ls3fyAGW4wwWy+/vwtW3BYA38J+q+2S1f1ooWCAtLhFMUjy8THYtb47OHx5hQ++NCkcQeTmx
8XfW0RAmUM8cSNdiiiMQ3OGxm1PSQRN+3vSj1muYUZk+xt2+mvFQjYM9p6cWuNa8Tka9o2FQVkW5
6BWGbX1ZZBV4KVUTzutONDGY7bHZjW8tg95b4+DUttAQyTHRRBhO8+wF2beKwuitr7C2hT6TZHkr
M5x5tOOI68WorXNdNPMaJRz8bQi0PMBxqG17NaVTthmEad1nGq3JGxLWe6gMlEEVZGJ2lTJMu9GY
+uRVLvqVeJOyhKDGbU1ztbqLFq1LCV1Ur0X/8t6ksKmahrWSoY8Ni1LmRRz/1ZwwNych6/OwyHLz
oq3Rx4bMZtXCRPeLXm2pmEid7mtSIBB0Oc5Hp+JrlZIQdRl41o+LjhcJmPiuNmAujnN9BZOGrO6i
/BG1J3T0JgfmizLYLBphv6ButEU3dBuTYNGiJWqLqmgv+mK1KI3mojlmi/roVsVL6pAfMRZlknCN
uW3LLl6rb7qlcDDMWn12lS6qJvIQcCJ0zryu5dpdtE/hGi/RooZy4OOyWEQedheUDpXCYTlRPleL
jmrPWc/mB201appXR+Jzqxbd1cmToQ3kosZmne5syzJvD96i1epKlJz5mfOVWJTcFEk3XrRdfVF5
rUXv9RblVy4acLuowRQjUfSwKMSyR6guFtU4d43HbNGRxaIoN4u2HEq6N8pFb+4W5blfNGh6l+pr
4ImIWYtC7Sxa9TxpNeDPRcFuSz3bUIaJqj2QvGsXpXvUnJ6sGkWz4aKDaxmgdagZf2xg/7PXze1L
uYyA2p/Xyf+nl00eqb9aNtOXv1lq+Z7viyaHSYZDML1ZBUGwLDPJf6g7xgfUHmQag4McKCi+9P0w
ybDKZRlzuEgMT31Tfr4vmu4He1kvHQ6m6DFsGv6VRdN4N8tfdpVvB0mDwyk7f8ZqP29B4DpBI6kL
6zIdMnGkHq8Ob8cxLXBC6XG6leaSsHaovsZbGtArnO3NBu7oErLapSGo1Jz89VlKFUpUkrnqZtE8
Cd0R1zaovnAtxGaZoOqmBAYVL7HOzhzWkF1UvOuC25KKJ292XyzuLwLz9IwxB5ohYkfiWIzyyHKz
UVzWE5A0/U03tGCRRvs5G71i1SYRsUSqJjK13M3wMqUubmqN9LbKOCxodeCeRd7sulm78Frvhdqx
69hwL8ld7XmU3dJctVXK9lERbnUswvJYR96+icx4T6z0MUMNdZXoNtetexG744pNHDmn1KhutVY8
6aq9N9xqnajhEw05n5ZzJi0JNf67bpBbusj4mU0Hzyyg1KahpcIpvWNtQExNGx2CeHZR0wpBDYc4
17n5CfbAZUdjereYeL2u9OdS0ggYVofcSR0/L7ud5XHewEvgUVO68uaC+YwOuZejOom26TCHyqPb
RNeTNEM6GJN9L4AAkI2Y0ZYQ19ylvUgLMXxLVGRZP6WQedKSphjLaOaNmJCTRRV9aXNiABNTgaDQ
pq1NXAWjjLHNXf2iqNh3yy7Dzdc0H6swMlnJXnt7Und2antMW2pgYZYdQFN4VcaW1gbPu6yX4lsy
boU/OPWd27hUp5E6SK3mOhPtzhtYxsyh9JOucnxLUEw6qmJ6ngqoDML86litseTwPAAV85PZVAfq
255Hdb6uIWIOjfYkKxp9mi56RWXHsy5TmrpbaiedaZe2o0f/jYZNqZcvo0tyl0gl7KxKbBK9/0L3
plwZlrFxhvTLBE6J6Uyz9MPHdvt5YAR9Gi0Llle+sMk7ONFZIBdiOb8/VWbTgjEPrRik+QCbH7um
61BqlrMaBETSob/CR8hW6fKOz2DUecR1ECe6eOMpjCQZ+ZFzpHYv2k2DejlzM1xPbuJsU8Wl3Nts
mR1K/WAYieHT/LIyar5njivlMhEEk51RLdcGV9uKwzeZmlSbQK0b8bgHhWvx7C7jg+uO89YZLLmm
gacjJCSZBQzDhqTgF1cVlzQrQfLUtbPR14BKPO+atgERtFlyUdsVCW/tQbrWdNtoSvpElSjH+Jri
bwPKmBY21drtuCAb20gpO8GFanbInwVBIWPZA4C94brRSTg7hQrPURKvohFsPQqsqo4ynVOdOioP
iG9fN7QrZdBt9bj93PQLOoJ9zsCOp7AZ+BCKPiguJnNNZC7RzURj0lk0z7oDcdmiQHDdi8FecSRH
U4gcioroDN0Q16LjrptJiWj6Y5Ln4QZkjFzLRrrbYiZem6bkjMqcfvVWSdTtQEcC2dXl8w1tUlJm
eKy9aJtJeRFzR/ly7g9UqF5Hkt9aVfDTiPKoTeRBclzYpUeBSTI3JNo9bO6RQ5TU7fmEMP5VLSfx
JJo2eYGn2IpJYSa0ltH0dnRFzxkTeEtspU/q0Gx7pb2d02FYZVkD/Vs260JLz23fiM3UM3ujG2ob
VtXO7ttXYYRRYPHwgNSSccMC39UJHOd3eZtkJy8argreUaLhtNfnJakzQamulXQPCOobaVb4DdyX
sdQ1kMb5oUvluBbauEUcvP2/crL6/3CHwHn3FzuEsv0v/6MQL9lL+zcbBb71+0ZBQyVmh8DzlKQj
qitf+r5RoG/UMwFUmQ5AfqTpP09XhvkBFj42FJdpCnfTkiD5vlHQ3zhzHLwsdGnX+tdU55+FhGW7
QdnJsn9xHKJwjrp8/YezVcIU3JUFR+4+X8+Mi8Noa9YPP7wxf5zoftSDIfm+O8EtrwJmkyA3mRfu
Zt6DH1+lDtlfWDPsq65M4iwoXRVJz6Pkww8NPV0nRtv4JYv0yRFu4fdVlPjZHB4HnqM3ahVdZ7G7
1a0oPklVZROgKZavuT20bi3G0C+wldGU3Q/ROR68XdVrJ3WW1+2kn+u5PI6NcRk34qAmKYPkgcaL
RK29jbMcQMKe4XKse1+1EU65nRJETbp05AbtX2NSmVR+2tjXG7otPBZ1+qMdhYY7ekntg1RmLOdy
dIJOaYneewRvxn7mXJl2BfBQ3fwYEg7eOpllPOs5tagKgtE2VtOI+GdfV9majHRKpkwD/ezS3wkz
ghq+PUH7DlnbIHM7tRP3LE2CC6ErwlhhVIb7cdZrG+i/nm0bZbatrVZKjDo+LdeqU/u9lXdTuFJH
S7l0a1058/dXQRuXmEBgh5eUe7ssG4Hd83D1Fm5g47jxzsjM9NCPte1e8Xqt8WxNAouEPpVDyUHb
uClBc41XkUb3Sy0m7+g1tnOALy+eVFszHwYnAkOYTbAqu6I39zSaWw0JfUvOMLIGtidQhrz7snTp
ewXCt1Z6+jH1aoyIkBNNqwXxokG3BuKfvbPueM9PtOq1n1p2jONE79I0uvrKq+O9oufaGn8x40Jg
EzeUBRwSdaIfvNS8GzFZGtgJyj3dyYs2ZZVTCpaawVDikazjBze3hhMf3RDYdTyvm445YwsUhq3r
GB/smbi9w7NvS9xO8wuPlumWvDTeobrd2sawk2YB1n7U22vCuRpn0PwcF9mZmj9iEE18bZbW3o16
shF2tivjIg2EoV61nrwl6j/cAzt3X2lYYJObBrYc7dcy7gMrR1oOa+1OVfqNsDv4EWW69pR8k7o8
ekYewWR2v7Zt90Ly4GWCHcVUciG2HTy4KSwg+CfmrTmq58kdAsPrdnAoTzMFAqIZPqtWz15U2WRS
Y19HILyfvlAAw8n2S6j2WiDtzOCcL/ghrOHJsuPP2Wyba7ulF5ttCE4IOZ/0XN8bQj/bVR/ghnqq
+PjazuDh5DrrcLA3Qnd3vTo/4QVbizxkpKHWK4OG0RUWJHWfWNTWaBNPNce54ne8gWdA1DieBZtO
CBbmoMbnyISjBBnlusuK9kxm8yj0kYuZ2s+sHkl3hJye3Xw6etxEKqFSndD2SDepWxkncywflJm2
ecu57XVxXdTVyeHPAzibvB+uI48tr16t9ZByXiFGrE0pMbVIkkBtytIXjXqRKulzmWrPQMgOcZse
ywzIS69dz1ILMmoVS1L2FNL7dVZPx9lxUGs4EIDM+FITDu49K/AatlfROK6mWR7ccp5IbxfFgZrb
r/kUOli9iiyYRFZABTDSbe1VWxLhys08KfXm1ysvaby/rrxAiN7KW5hS8r8/r7zRpOXthM/ooqxT
fT1k3rR2hikNcgpoT11uyMAZ6PwsoxxdZX5hctde13Wq3rmzm63Kcbzpm+SkjmGQes6DOnZ40+zX
Ik0E3DIyoyIBf8YxYVPOXNNZyGgrtFofXgt1s/WgB47b7Sjm+0xZce/HSftRB7y8BmFv+JpKn0RW
+LJGvN5rVco2m6SpljRb3RyuMr3ctrnzdcryW5pMDj2llXObHeqeBqGqPAGB8badnOhhm+KdPkYW
U7/Yt0MK3SIz2QqefkGrtjfm1Gt+FdkHNfK4rwGK0mqiQUlrxnuAKebKsznH6JN+acZz4de2DWo5
Ts9DNV9EbbJPpbW1qFwI4qzeh0VKUt2lHDR3wbyAl7FEdcoE/aBOoV/GmYQRmO94rlFuUtG3W07t
pkyayzTJbuDVs5cuhiywMWn6RoUc1DRXsYGMn8+cfBvwYuZkQjoe40/wK4/xwMU0coG6nOSAlC39
qFutIlVvak9JPgW5YdMyZe4k65DRll9LzzmptQqbyVO+hqToV5Ver9hR4ifNcm2vVMta1p1ix37U
VSySKl5OGhyfplzX/KSd0jUe2EtjtrSADrKl/jpxd1Ss9h9Lw5BHjBDNOUPr2v/6Uv15ZPK2EbFp
n6BincZdogjvtgjsruXYoFxehCBtjOTQEKP/9Sss3vwf5k0LkAMheUkjLiECdwH+/rgJMWyY3q4n
xEVmg5GzL+M+3sXVTSMB0DUZEZt64yXrX7/mt/nqr151+b1/2GD1VdpVpqEoZ3Ui16frqC78C0/F
R/TfCRhlQVTXtYAjGfuhp5Z9GCn7ygrIEqoel37RzI+l4pzizmSqnUebzJPaZzcynSBXk3vbzWVA
KPXoZOaTHabjQcsMu+dqKsp1PzvF2q0U8F8V1RZOMU37fnSMz2WR4B5GDV7HcfyFQVVDnMyOAlbg
KcBtqvqI7rdQfGZOrOk9RzB9nwv6kabuK6ebHQ+lu7ZpNnYr2xX0x52hRgqKCTuUTBbFdpp71a/p
yw0aaSGyxuONHhVAwuPBrw1hr2hvPHLRA7CRWEareN+Yyg59426ckwdTTQ9WV3LyX+rJ4tDIUBBi
amF7a5/OyRGJIyimUA8MPBM8YFJWWfVhUOFPxUkO22vcFg1si3DmClaBbAi4IqjvZZK7uC8TN2iy
8FwB6REgN7XSnn1XjLeRDSlgrJS7vqOtHfOx6s9Ot8UhDaO9Lz/Zoj43an5dQ0xuurFbtdphsGi6
HCxj53BKDipNuy+maDeGFC0PTX9R2TwjsfTtUX5f3FrtsfVBK7LMrajMkyN/l4R4a8j61dW2bMR/
uNqkyRYDCqNyTk7FlbhQNvWx/ii3wGd29snl0eN/0eWK0/a5eJa/iQ+9kTP++uILhcaGaQ6g+ucX
B5nsFinNcecqwEJ70v1q09ONd1QenI26Vu8vFf/0MKwZiQ6f+Ed2MZ3U1SHehBcgZH+XFvr5wccC
wt1ugN+zaBjgGPU+EzKpErFGS6KLSL2iDXEVqw/Nv2h0+ctrvBsrz03eK1GURTxcX0Sz86brX68e
f/s7OIi3eJYMGk3efZr5aM+oSTUPb+Wq9rgfLPac31aofwv8FivtPz++f2SM2v8dX3L5tn8c3dHk
DV3nUlI1ZPkfsyrMTC1oEWypmEdioeRa/67xmx88FaGWk70HTRLu+59Hd+MDIRUdD6fBwfvtS+8G
ob8ajP58daDwL7EXjQw/95qFjfPd7TaqihiapugvQKb7dQN1BlkxdvPfPDbxwXHf/nlfv72QBcbS
1BZGEzPY5Qf5YVHRMmgVdmJWF7QpeffQGXGg5wywONdx4zW+8Xbew+053yY6qA7AA+YDyoJ4qsoE
X9FyWNScvCJl8XaC5CxpvJ0q7bcTJuXinDaHt5OnDGs0zESD70JZUcyJXMkwUWStto6riqKvUmY9
PBpFAPuL27B4jNPJW1vu3FD5WXyxMlNeOAuv3ezVCuZSlWYIxyFtptnQr5RsIVc6sSyNS/WNaDlk
yWWDOgbOGrpI5CGAqi8WGMyiFpsQLKYDQrKQxtZaeJm6ym/BA2HtmSiO+doa8304TTWQQsjcLcRN
GrteIyzyMyRODSJnbwy32YKToZYseaI+s2Vcm/Znxamai7q17EMWe+eKOvX1POuYRRTFeDWTttiZ
YaReFF1Nom9gsBLTDr/W5eKK8i7aAsjurHPSE/Gsb7vCuZ805RH0B9VuSYQa2HWCWUJvoEkIAJRr
3VUJBZnLX9HpdJ3YzT1FclSA224R3bRiUNa9ozVrb1THRzMjVu+YwDWB+9FkZyrNFCTWfFPbnXuI
FE37TT2U/n73x7VsUhWDT83k5uCy/vkSq6eG4//oNhftOv8kaV+9nW85KZF77XYFVGwgCWINc3KN
ZMrjy9wYazDA/m8dL+88ScuKzmKLG8JanHuau1gRfrjUUXxkL9qovAh1cUAgGv0UYCA8JRNimsP4
oR5CY9PoNvv/0FXPwmnCg8ZnZKd17k8OQepQhRquz8/dWHqbVg+hmnbVJnTnZ8cCpZaETN9hID9A
+Ob02tST72CWDkbgTSstwrRmReOa0MRWatSkhbNfm7hBZ8tjEsYgSte30NS0Vd1xjo89Ald5sUtG
MygNE1SVWq2lFCc9ZPqfFrEWLOeHPKf4lZv4Qo7Me2oBeAj8yr1geKEZ+bkfXRWuckWHAhea49UQ
v9Tkm0z8T20cPy8if2SLcYWwXtKbQSfTz++sN+vSq/KwuVAHjIIsBOjZDW2+nJ7XVhmTA6p/x5f7
+8DwD6/57tNUxsFphlS0F7Uwnqyw8cdelMHcOjsz789lzdFV2HA6nRqMUgae3DKLCdEEhJqrWKcy
dh/VuKXpvVVeCXFtMByCLLOv1XD+Yon6OZcgvWpUhm87qX8/k5f7/p8/k89l8TcO7uV7/vFAdj6Q
DOWxZ+kmI7olHfEPLd37YNPzsHhccR69mYi+P5DdDw57J4buaO08eRcF/ruW7rxVVLnQAf83HNyM
97mIf3pSUk9lUiqrk+twmAO+O2K2M+en3urhthrFfKoxXZGXL8nZmYEyimGeV3PYc/5WKBPJArcL
nfI8qTnw9Z4W7VXUWWp2dvtYheGuC15DwAWbFBNGIU2P3logVhbQfaWVjSsJwV08yD5XqmBWBYWs
qxR1utq3ZgOkntSbPeJsduhyjJRSbCDbK34/Fg+62qM9mMaO54a7atuhW9UDigH4eJCjQmnx4cKD
LvRzUxDXIwKB60m9KSam/ZpGFqwMqyNMzWNRhydNjh8BoSxEQpzWVZUTqNxnuQgJWzLoi+0k9lOn
wy00OpLtCbPSPpxRQUb6uR3vSlN5LmcMPZW+BVzHjHHFhhhcXs7OoZi+6mM3BnE/PHajRfZRZLRX
qVZAmO+qLYtpI+0BAaT3OFoNdecbzjwGKSlDBurFvJ4skmpUdKxRQHmE9VoNAm34qpjjMVNi4LsN
q0Ieal/HkY5OYisbZgM7uHyZT3/UKXGp+l4m4owJqMmp5QmcZO8P8aBTmGrcKqa6qZ2eyH8awpjP
yXo2YbU3I3ZBo1leJHp5g1HJD53qCCbYjyj0gwtIZN6p13B/P5tTxZAXLl5nqKshS4mx0LxN7dTB
5KHdVAQ/0cCZzXZjsmqyMt24k6PQFEArqkIxaJot6hxqtSbEQ1+gJaSlF2+NCcCrYour0eFBZXrw
7eruMFC4gSbbPAhY3asZAss0abedGNf2mA2ozFTnFMmNKIZTbBlBCix1ZdtzvA4JiK4qUwl3TRpG
vophWwU7t3Zr46XMtHanVcRurKK8sDTKuCI6LwsjvXfgFufEAjFqXypRVfmOl8JtzryE1s5kk2T5
R+m4AH+ZEKvGk1oBjXQSazvI7HZMrX0h6mllhxGjUhdxbwK5woWuR5DR2GkZ3owTTsqHwtENksbd
wxjKj5rZ3pkt9EWcd9si8i6T1qJtgOSl1X0eHez+LZWKfu+kFJulGqMoLYem2N+GyZyuykTrGcqI
vWhNQcl8fYNB/Sl1xXNt4XkYYywwXhIv9GBT8021vx9ilep0Ar5BaUcHRSkPquN9KmYXmpSoQWyV
2i2C1CZuzLuqVUFdl1eSbgLwvcat6ahu4FIpvTJodxSReY6dSvHpXdqMcfaAy6TYYtX4lIt53GHq
2PVDA88kcj2/UNIiMPKsZHdRPCVFPfD+MOLJxtk9euqEY1xTt0Kdm1Nsp5tcOlykemauGTiSVVTk
JmunS00zXxq6GVdlQ5eD49zzTIwOTU5M0dbGlzT2bhITM6FNKR6gRuLk7Ty9Sp7gK6LIRRAK3fQZ
K7qMwReF3kG1CrP+FiGKS4ehI9YFpeQCiCe/nkrLN8tol4rxkx11ABjsoliPtnfurfpMBPgl7UYj
KEd8iICyuKA6Z8MB+LWR5lGU8W6ay6fCEfoaBsfeMZgZVaN2VJt62LijMgR6b9+Yo27uBTZGUHks
JZqenDWU/GmOtmQyjwxBr5OGBrws2UddfRtG9SvU9zYoZHOayvBygS9XLs0SBtv6lRoJmzkX614T
l9y5GR19Zb+ET8uHouzYukmPexYagBUyzZdMNfx4kB+9tutx9uGEHIqKvzxOn0ajM7gdx03a9+ri
CywJsOvMd6boQZcvsplIDlvMJYrJPEZ2/jROvKOa19/CIdCZr5Qf34wF5H8/6qb1EonOWk2po65o
Y9mrbfnF081njkGvg8bFUBX2XdXwgSEJ0bmddS1LRIGLP3euhiSFNs2mWhFSYdQ5XFhKesOvylgn
upwxcmwoJEcdGxR9NWcOoQrVCCJX3fclBbMYC8a9Ka1bvQofIwdJvcnil1y2Eji2RPCRc7F0z94D
Ep19eKSwUpF2vfbbwfTfu6Ql7vTLXVL3wojvr66D5fu+75RoxsLg5zn4gd82Sj/slGjGwjeApmHb
9h/G7e87JfuDp3nIEzRqIJ/9uU16i55SseEBx8BWyAv9C7oFOtz7bRI87KX30zUWCyUh2J/PAnmV
meXE4esiN+ZhQ4ccpxfVeXJIRpZO/6B39n06X4fkJvVaW+vkKPtO3IdLsHJaIpYVWcuazKV9Sshf
GjK9z5dAprZEMymC+Gx3uJWwHO4r0puqKFgo+nJjaQ32uSXiqavas7KEPrUl/mksQVCWuXAzkw2V
Mf6vUDSHQgItSIzoIbfKUzF5T7PS4RJ3G59d/6cpSa+9yPjU2NrjOEy6b3fjuaNlx5+ilAqjOjn2
PYK0BevsYVLd57ir4mOBTW+tSXx0apXc0yb9DN983ps5kBoszBvbnXdzrT8PbX7hFZj1bOeWbqsU
kkHtIYhbibzvo/jJjZWdVMuHtlHEwdErCrNMPy+GCy1hEgfOa5ziC7Pn7DhBkQ7j6GtZdZfsHusV
DUUXXiyNVRnre7PcJBiroqlkUH+76NvOpurSpxohYcWPuG3b2V51dBvAHwBObGEyThPdvQ/NcFVa
bbsbbG/hy4JsCJUTYDe5KztnQOZe2qeSm6oFq6uW88a0I/Y1Wbary+xro9Cc2ulttYoaddvYM03Q
Q381ud5OTXg8qSH8+KgwXro4Ng9ZwetltK7TYbbyHIqz5gmxRbVPQO+Dsk0+jXbordzeOTGkg5Dr
XeSVGdgJPu2SgnYpImaRTuBYeLk7c8Q6oVoDbjIWeDGXo2/LAZdUytQtc6hvxU6XY8WquNhiQARd
Pl95nfPJqpQ96N9u07e6H6oKuTZ9upYOQH9HY+xYG9gM4fGadXJTaOyZIz45pTLuLSSnOs+aNSdV
91Qr2j5zy3OVjM9DPn6M2vYzowgZaHIKg9m2eVzCEPGnho1JmnT7Yerokscn0sccVWeSGn4c5dd0
vxh+Ooy7XKMolW4U6gQmW9KPDvAEMnLiuK98Hseyqi7NJtqktrqFRK76OfsppkH6asqM24QKFEw0
x06T53LmZDJ3xSFsuxN86r2eYxHIaD8BZP05acXei8SWcCllW8x/ZBvfVr1yH5f2Xi3KQ8+Ig2Lb
fYr5UFGL56LN7lFFeFNneTINMBvUsfVDCgAjHa+zfNiOYXwyezsoZrmrvHKvNTx4JnNXi+ggTJVE
xWQcKwaqslWv1MjMNj1FK6HoHqXDnqU1Z7ZVtKz2UMlhoR8aT7+x4uqYxsMOwmnPb5gTbRyY66rN
WVTOJYiUL22MndMV+m1btg88Eo80+p77CKC0mG4KaiBWIOke0iza2DJ+EKmztUS5y+3Y3U9WsbUH
uRj1urMBw8LnvHltJmKPEHydKwONJGrtR32zx2H6qI4MeFw1ywJP728oUjn1pD5WmAYiQmH5Y98x
N0LNrKYuoA6Tw5lbnI3Mfp5d1B9FrjuPbVo8PBVNv2st9XVuoQ3ChVjPbfgYcwjmaDcrRX6jk0ny
M1dm+sYtLda+0TAONIFhb7Gzoyf6k+mle0L0ICM17xhF0aU5ZMdQTHKVlOIsQzNfx17xeYjhkihN
Bt/e29ald9Ew6vddih3yWkWDtbSPMSnLEYHXSJULaGy38/IRGq71ucI6WraC+K08akJ5GNXhkpL2
C5W8XWQ75bqZ5Cdd4RgUVwIDcc0OvOOzaDRrU/Sw8Ws3f67AFU0ex98ubnZpmWzpO5NBa2sfHVs9
1OA5oog6BXAeQ2xrvm7ewcVkijl/TjLndrY6cSqsutqrAnhlXpyVQg1XYU3l0Gw9a5W9dfRwZRrS
2iUdDhfZjPoO4hH3snhJ2SEyxC/VI0LeiYkAQqkGLV+Nja1TI6pyUVS+jky5soW6a3PSqjK+rTnq
T724C5t2VygcbUfpfqTDAihQeYf5+qGrI7ho5lW6VLCog0/hH+EPqm4ss7yUnbiL1bkNXHvYKQxc
u5nsZ2tTgKztGuHx1pCQpKp6RcHO9dDrtzAO4MprYBPcRqarQcNRbNjnFrCmvc5aRc/Wvazjj1Ye
dyz+tnPUC6LGuZstRHeb6AxImtilaCRFo4gdzlgNv9I0VTs2jFtHFB79EZa7yruhWM9KjDdioD1I
DMO4Gvr88wAGxbSLZMMTxuJshk29ooBlxPJs4WYPIyUOxqzjETN4wwEKNLFnZXotmnYPNx3X9MSY
20gabWXHo7u2suxhKIXOid1uAoch4gYevqOs8sRm0pqLk9S66rKote4x0ZyO8NLcKJveldZ1K/GS
0zeJMVlmpgt5jqnfupKQq2dNOUmjOSCAXuluujHHZO3o80eCEDeCcpu+1qnjNgpfz/DyFlr9GMr/
yd55LceNpFv3Vc4LQIGEz9tCWRaLRS+SNwiJouCBhDdP/y+wf7XMaLqjz7ntq4lpiSJZhcr8zN5r
24nvhsOmFiS09Om460D1I/NtP/fk1YnUe7YC89QPE5cMuTsQ8onfWqHeuFfIKNDGR584WR9BROyD
ITrr9vgWJOaRQCmU/8RP8iCVfqMB1JjtoxvnhDJmJhVyTjJPiqg5p0Xniq5BBa2dOjgnDDqytLxt
mxQ+Tj4fVOhc2mO8FzXarVQdiFuCOqan69hNoYsl5o0c8jsmz6jdJrQhRXFfsJBnNJEeaToPuq6d
4JX4lEI7Y6wObUD4UhodQrc6hqr96FjmMSvERW1y05oe4jP1SmO8SVISDAMqhclWmzmINjXdsF21
b3kkL7Wi8BseuhFxYSezV8fUUavJ4lDq8W1tEKhrxMRJMd8yc2cfjfpdk2rVqmXV4aOkxIUSblB/
bAMSTGUAjbyTDZJqsc8746n3LD9LxLi1sTOYSMspLZh7F1nF6Z4+ZaBKQ2T/q6E2CDBk3QyjB41L
8og5a2d687XeswJJW3E/DWJrJupjCcmBzhlli9bHX4K67H0i3btNG5lXg61fBaGJB6EldilRRDW4
wKjig4x1CUAASWo6v6nJvmqV4DcesvbSMXhYwnKwmSwx4YowWGyCyfHOpSgvCot5QuYRNN7qN5ml
XWbtOPtaaG6bBj9BYEdiVTc6RLPJebaHZLqTnDTrNBsvx9Hr1tpQfhwJW1aa82wYSbBVcfWkozrA
2dZt06bP/KLht/YCsZfL0VMtYv1SRvuwzhLfVulJsYFIQ20+E0l1VCIEfeVAha/qnE4R8Hw1VcXa
4v/BzF2LnkSKeFQ7fG8HZgZg59qOifhya9vW07hEhSQ6UgdM+9mqmlhypfFVOqQ+OUHRwY3m5hLP
hgNEyfxohFl4MdTBjWyyZz1W1n75uKOhRPsL+myb1r357EXtHe6TG+aI8aU0C5gv6hAq/d4IqWhK
W1/FQ8cgo1zreXpZhfquc1l0hHb+tfNKMliIPQ1N7z5ty4uYDj9lHNiTE7tpjPYJC92tHPE/FMq9
SkSIcyTZZq41YUFKHqtMPlujectSqjzaZlLgNXDIdGit5zmXB4koz0/0mBlMzz+sVWJbkuW6VoXV
75MsQ7hSKG7H0Mp1824UiUEbUddMa1HBWgajONPRNoaIIRv4P3R8v1FUL8uS73PmZZlCPLHD3pc7
XrKV/aWBMmJdHw2jiM+JUoBaTw20QGnd/fU3+dl2++2bsKtFeWAKWsmfu7Q0QDitNU1MBtNBK046
e6slZG64/+tvQyf6n78LtgMbLMsy8PplSRNgXqML0Cncja9D+aCZ/xjbz57cErqBd5iX69fXqiEM
vCydPDsXAw/a3gs+/eOfH3mGwSvEC4Xa5BdgZOguA1q7IkWXvsO+tuXf8CH+YyW5vNc/vD6/vNfo
YQXje14fK99puZ+KbU2eIvP2tyxZ//Wv8ptvhcoBTRKLYCJw5C9vReYxLySEPT0TJNLVfquvSBQK
LbCVvqb+Rlaw/Ni/PMI/vS3LI/7DplUXcd67TpadFcikhorO56PFmTr123/+S/34/v/ySxVuIsvO
++MbMRXHeEC6LvfIchWrv3nWfvO5dKUQC/bBZFH1a9SAaQMX4eItzo25DbJP/bixg9e//nV+83H5
8Vv8+rjNjU2tZOvFufA+JcGzpf0vHmdJIJdL0NRCGvvlU59Umd1amlGcE05ABrjZ9L84vBYPLIGo
Jh8bpGI/v/OFVlDfO6I8z+6nwb3qlo1P+zdn1++eZB5i17YtFDpi0eD8+HTJCDkHcUCEN1P4Tf6y
cbFvevbjrMrMv3mSf/O9PKy8hiEgOAnmTz9/rwgdgIn/tThHS0+9QbMZIbKumKnvjNv3N//fkeei
W//vI8+F8bWO38LfbIeXL/w28xTOB92D60DsLsf8u53qz+2wCyUYdS99KFxfvFbf5VrmBxRO7Gpd
xpssZCUfuG/bYeMDtGE8fYirFqMVYIp/MPZkrsmD8P3I40fiHyMK2CRcmA8X0M2fH5Q4SaImoi86
cQbj9iNKsSV5qnPs9CKP80EZvuhnFAsrZh8GPXOBl6Yj0Z5wv/DSZJP7KY0K1FbA4PXqJXEzIa4H
0Sg8S/2kqlXTF/KMn3i+CM0uiw9018Y963TNPohGr7WVlFp7zgMzuEgnRyeEJ00TcRe7MrMI95mz
5lUWoTOcalMhNVR5tuudIntjscp6q4i7zO8sr0t2euKJray8uL9tq6k9WMQ8kk00R+m8Qf7SvcwW
niVkFZF+NDoZHOuqwuVbMFLdRKOEaFTV7abTp/hot5N1GQSz6jBQBfJT17C0QwsSDLhbLWYFaRF1
15Fhf+JYfaHLeU0cZhWcXrmvHPtNtfmbg++npfOrrC8MAJm40NNV4XAoZt3etqnWvQwOmuPe0OPY
H1LMAFBbQaUy6/gotJjpKUHrr2NMA96YhXGA6kHiV2rk+1TU7pVbdeNhVqraWZy9ft0DZstT1GK2
B6UWWCi9Uh+QYNqoNfooH010wG4/P3qdxIId1C458vZ8SC0WnXjNqFmxnrpxla/q0IClizPYLwl7
YPaQrpUn3zwr0nZeP+8zIc9mEju7KRgY3RBnsQoDVoAQIJ6sCBpJOsz4DrCA4Xyi92nJSo3q4So1
yVhHjT1CI7THdc1BuUlQ/p/1ME3vtME2b/G1FW+JbkGUquLiIwvNmsln9aWAE/avnOUP9M5yjPz3
U+sMlTB8+82ahq/688hCgLJoU1iFemizF9fDn0eW94HYckyThuNxjf2oMDWxjfKmejZZZSxRfjSH
mh8AGC4QQ/5ZTKdcrv/HI4tb2uYA1NkeEjP+yz1aQfqOBxifp1oKcOZzlmLWXz7R2ljpx8JtIL5o
yyfeSqKLOJiewc0REuEmr2aPgYQnbXD3aF3yflOZRAHqCq3cSFxz6COBKR/DusdsI6TeEJpH67yC
OuMA21aE/1m4id5akMiY9gt7MUPz6SuYbRRMbLcRiplq02aYgAhxsvptVSfSuUAdIVcSo2bzbtlM
Y4V9M1mcnCPcFw2d/8peXJ52HDBKxPhJzB4DsEWDoJmJ3GaLPxSML2IcLKMZszeFhZTh62nGUirM
mfBUibtHu7TK7EAG3WGkv/NthwxeJk42H+S+WxuNFV0qi6BtpV0nZL3dqsA7QoRPfGdxuJJPIi6L
psQfqQ3pZnIAGtUQdzAoduexbc5aOoKRYQi+mphnzWUJZRo9kFxlDjw6Pzan+mtqtndxpt/hvszJ
iMza4lqr0vlkWuz7K7UNlRM9lTguXA4liPX5qbeycGWW4BSaMPENxeDFKD3mLd1aTmZ+pzn2sFUe
cx6XwNE1ZK4dwgIctRmAdyQo6BZdZ22IIjr34RDgnkmIl0Y0045aeesMTLkc0kr0iTxQyXmmDMGZ
op3EbG57R8Qw7JX10EiMmBETrXoiElgnFZW1Wo42b65Xs3IVSr2FZC00hi7QxmFON6QU7374KF7/
cev+6En+j0p9gd8iQPGkQy1Kz/PzXYxVZdAJZE6uDGJTt0BqjU+YWzx/mLhw/igQ/63alsXtfz//
7pDz5XQfvwLLlq/6dv69U3RcCnWE4pxWvyBZbQ4fkseR7C3hvd9LNu8DNZ7lcQgKynumBt9LNu8D
ZZbBv/Uuvacs/yfnn/V+vn0v2d7BgUt8MOpoNuZ4036p7Vk+kOHOTvJsmOw+t4vO3DfxV73WSbfp
LZzieh6keyCfaHWFfAxahltBjQwbhvPnNs/u3HyQwIyNddfSTwcq/kz0+qHpq8tU4xSsQdOv4qrH
Ldy3hCGJl8EFSNIYQ3OEcXUA40GeeHw2W+3AsPXUcLSJupGoMNg19khiVjj490WcbOYBHAeRCe3g
lH6pzdcpDu8lbPsW2uezJPuUkrO4mVJN0Adp91oU14jmcOJUcbwNCTjPkieU3y9DqFON2cltUzON
ravG54A55jpbFPaFu6ksjZOurHMUz+QoC2pHW131RXf0muCLkngE4QQak5PeWCNSlLAIToPF2D40
tOehtjeNZ4hP9VQiTkk95Lj1Y2zoXwB9AflXZuUzFXgYXe1Lt5RbZYbdLPVOUxZGG8HvEOjpKZ7V
pyYhd7wP0ngzTCxsI6Oyd4UdHIKR3XXt5Q+TCs5NN7zkDhSQ1AX44lW71sJzKvN8keGJrdeEuyqA
kWQw11yM6t0gSNOb5WPiyG032Kehj3Z66/V+4yU3Ra6jty5GrKfz5dB4RHEG6imObBOLcYW2TqaP
VcNKK03bJ3tmcemAJm2b/Gvp1Sf0GuElykDohla0LpgwD02HMq819k0gQQ1U4b2R1dyR0bJYbOXF
4HSYlZ3oSxG6d2Ew7fDJj9A+0DMtYI/O1N5GSB8zxA8H8gf/bV8sKBCr97xNueBBoqS9Lt6BIZBD
nMtywYhI9g0OLdCayIlo7cIayUW1T2CPOH0V+dhmQgad6Ul01UaVXb7SU5AlRB/dCRgmCSwTaxI7
lorhSkE5aRbcSVvi2CggoHQLCqWCiWItcJQZDtq04FKsBZySQlBR7yiVBapiQFcxoKyktoWnkSI6
hb9ipcNFsgBZopp0IcpkHVJLy1oPfTqbqlf02/XHiJA6trUSN59DfMKtocDR4Aqvc+1GV7K65f6m
dxFjvEVWuU1B7JEtHXxFePYW4KQhmoOxuV65F24xPjZO/blNMQCrsrxxQxYiUXojVHbwWIL5yFjW
anT9xHR7/L96vfUIiCUa2+KXU5vKZU9ljgmqh9HaROifVjJzZx/oFf1JnK/bctyazoREwVhX4/ji
Bezu5PTAG43IPNEOU6xdFlW0i1LtUAApYtznhwkrY9SW+HtZwZCsMXqKQmC+MNnRiKpeR7AZ1gZJ
vj0m5JUZk/AcV6nfIq+Uo7sbJFs+lfOGPLaLJGbslm0ZToHuAI84xBjgrieIA1Esn/JkcQPU0WWv
uJfnKpbbMXc65KHFXlb6FXaT12aw+BBMbGtckhYsuTbVdCJC+TDQKa5ygwwNYxh4b+0VQuV919Sv
bLrPyeitm8S61+MwX8mpvpxTF5SPXWyslE+h7hE6AgAQN4p+Z3fBW+U0PJ19fmhlSBvl9nsRuqOv
VfbeMvPrQJ/7Y4TSOIlZTtJ8+pHVnQa3OI6soGjJyOcJPXLJyYJxIBEUyAgnfSfd7prW7qNuqENg
EX7c6+4GMzbn31hohJeXtyaB93481+gEoEyEyZ4ElZWK+6vAme8rcj0qo70JjO4CqeHKqdi+jMAn
8etsHafemCg6yITp1+iRZ05hcyvt9qgX89ZjU+DLCRuL0j9nQWOsWqN7MWMv8wdgKQfhhteimFYq
DG/E7F1Kb+r9mY3r1gEdoENCAL2I4kaFySbXYgl+wYaDH43XZqah/Z2uDel9JaNjWxAu3TjtpoHB
taWNw1RPqz+16rp1vYcx7iI/t+3OH3NbUn8b2VNKyNE6VP3XpOmOLOUes644JG15GUmW7F0d33aU
gEZcf7XDadN1Ql3BNNhWyfyQCoPEe0ibnMCbprBvai0oUT7IZ82pP47VeASmrVZNl7tY3D2/FdER
XxjqZ/scDuERlhTHuDUdgkqihxYBe6S90zTpIwElQ7oWWiG2cBwG32NflOnxwbAhoKghn9djGX2x
iDteT305Lo6rT3KezwLJKp4s+FYhCdpjPSerwKy+um2f+rIlNi92OS6nsVhHZfyxTIzrMjdurbQY
WJZZDISbV2x261aXF6wYz41Dw29wftWu6FaFXTyMk/aoxvI+i2nYwYauVRaTgDcN5z5lSGHN3t0M
HWuddUl3U7fIOO3MTfbWoj5wAnQ+yMnZe/2d43aZXX8vT5hbuawcMBrgfGDxAFTw5yq2qTxhTdKU
Z3GXr57sbX9d+fMq9+Wn+9vmxEJsU2Kgii/BVK6jPVgECGv75BT9UUz/W+Aujtu/KHA/vdafcsrb
380l+co/i1zxgbcIuNI37OP3Jh8tJgUu9e83IOSPRS5UKEsHA8X/UNEyNfg2l6TIhTopXJN1k/Qs
2I//oMnHBfMfT5HrMf3EVgNdd3FM//wUmUlfNOjghvMI55E075iGqI+SjQKzmLtju220FMz7aFv9
85DkRwV6b+fonsucjolaMMGNCQpP3Iahs9E8O1/lU+H6jh5rR72dP9mBMQP1ad8oh5qNi5hgpbLg
zuw05wQLg4SP3qy2asSgxipyk4TRYxsBc4NyvY2ld5G3xgWWlq/pOD0OUX7hWinoQaQiwtjLGK22
TMiHinMs/gleS3RwQGlG3Wros7FyWbbzlrjWw+BoL2mvvVHSVWs3wNAxDtO4oon5UuVINVNdu2p1
uneB74TSdKBGlETtRqhNkfALP3N7xowdIJBuKh+jvLwxnHDjlEgs3ckisKtr+00I5i08hfHBUeZt
1TgIuoK3eVGoFdeOQMtk1ulVIZ3tPCYf88pcBUbwGhX2fW8HAHuTr1NoKSoN48arJ5yEHdrPPmwe
Sq1lvdC1oGqyKNuOLQ6gSpKvVDvTXY4YfN26BNVTlCa+mUWoDYvOZYFuzeShMJNpAvxDRCM1a6sN
92lkkVmnEVjZacktukBjPRoZiMTJovOO7X5tl5p5qqtFeFKCvk1Zy1/MWn1bNiMDTBaSu25Ez8Me
DwoR3EPKAXvfBXJKH4tQc8OT0cz5R9wXzGMyxhG8fP3sjyYSxZ5glQ0sjq8NOoUx6s9RWyMIypvW
PbVB28iX2p7jL5gbXA0bAw1AbIlga6MCO7t6PPokViH7MKZiq6yhPOWzET94iK7qNh73VGwvaTzm
SEpVfB6sxFhrqmOGNHn3shgOZm7vYD13SBxEtq+FeNA6Ipg6fTA3Y0B/0w9FeJtbOVbIhj1YU8h1
pfNawqs4jUhl4UPELhpkF7BllY3XxcQ16HWDug+r/nPD5uvowj9EjhO9KcEMdrbAN8ZSXGleSZKY
jl4j12yBHabt9jUUrr2BTO+ucqrs3JducZ8aKAKViCO/t9R96dHTtQ4D9o7JcxjbsKlBaXaBhsoT
UeWqLSdkZDLwCfLhosEBtLFjRHgs2bztBPDwop30T2Og/CoaHr3JUr5Z4FIlNytZh5ZEyTpa2kHT
5PAC0XJAnFgF69hrix2uqPQ1ZcSzz9CUkbTgAUKOxj0zcG9Tt3KG8EGuyMqxKd4HUwSXEWKMk9dP
V43jMonL2LS6JTP2BPjodtS9EeEvZCfNo3NtqPxWqT3Om/dj+N/7yGL++lf3UUEgp599+h3XYPnS
Hy4kZl6C8dcSmoq84IcLiYwcpBJsqWyWVO8DmW/mAEbVmBuXvBvmLrx5P0xdnA+s1kwDSYpuLpyK
f3Qhoc349UKCeEgKKDebbfPd3iknP2gDXBEKCJl2eTY8xqoMHtmMDdOEwqzIeVZDcRiCdJuZ06HI
CwOrYxE959K9yPt468l2R9zUldtVEMe086wRbGflyGMTt7zMYrc8Qy1+nHTryZNKX3vNcspq7QYq
1v0forsWZlIaknxRJu7NGJroqqgolb5ByIUOybMHfSNG/WqO4n7NR6DfRcBgoY55CI30FnmwkCTG
odYWIZIqXA1zUMYrAobKfecM+VoDKjdOjBymCWmQQ8IdQDlsjn2vP0DGwgQ3bQajxbMtrXS5R1H+
1/YrUvvIV/BPOfgRdYE6p4kaB5zoRfIquSk3U4BLCZJoyto+OsyFFRwyheFBz8dNWWj6Ti/N7Gjb
2nCJKQCiIeZxHzDBA8soBvlZK4jFSM7cNb6dkAE4zNa2dbr7Oq4IHUyrBxypZ1UJyLomou4xrrZm
FXSMtWAzF1qm/MHSKx+y47RKq+6kVKL8dCqhl/cap659gUICT2BPyMOSfjOQuwJYbe+aTE+mNP7S
C/MUFvPVbOQ9Jj0Y1V1SP2VLv9CV3Ypx/mUXefQCOmN/OAq+NrPpKlOyc5oShq1qsdJnhkMn49yk
AXRkE1/S2pjDTWXl3nbQytfKQPtn6M2VYZLoWWm7Us8v8zw+i6w7miYTPtKNj1XPMxN0zXUVO+3K
Q0Ho6/3UbSx69KbAl5t0u6oyT64dAYCVpeZXuD/YGBbrVGm7OtHIGSmb08yWl3ePUVvnObeGY5yk
yhYtdD/6Vm65vsGQkaH8zBTcagkkSXVEF0OwacLmfpRoVfqkOIVW8DJV/bTNNG8XNqaztlv90apY
A5uVi24mWU9VC545Dm/CQVyKMV/P4QhhQn6pnUGtczzsLAGcQ1jRuACNvGy75hyXTaXdlNDo57dp
zNK9m+dsQ9UjyHymi/TbDTO+U9Gl6iJp5XOZ6reYQL54amKHy4B/DrchCQSqGS5kq21r3QCYF13F
ZXkxJs1VUWbXfYHsuWoiLtygGw5OYH+dHa0DujWY4Hi7wGXhXfTzneHMJ4S5GNWYWW6557A4mw7f
lzCCrN4N7txsJjci39O8ru3nhrTOVd7Jh0Li3kjCY23gdc1b+zBE5ipU8zUN7D7o8VpOdnfDYbeq
B4T2hs2WKWbpEFTBtYnVgTUb80GvPZZdfAuefSlo72bFysipOxOSX5ysDDCRvF34MWUoAEBMWbw1
U2fH8gKfaIb12jAiZm4T4aFax5OD0ydZFRjFV/mcX2NPfHKt4mtZ61/AbaOWLLNHON+XtkiX0Evs
KvYCENdr+IBuoj57nRZcyhSg6ehxTOj6NVM/PgxuJc5E6r2ZxNptEGu9dY1Gw+eMt+YwqYNZ9C+i
zLeVpT9NsUt8AUwzoGHrfOTz4lmNtQOB8LEY2fhQ37LrmXZ9gLRS1dcyzo66k2znhtQuuwquEndB
3jnpHpv10hfbD14XrPnOvW9K617otrGLbIAmcyXURo3JuKk04zTyMbgGiX5rT80eL2fsF1mPtxG9
pLHgnePSNFa22675XeNVm+JckhiqogrDTTuxZGL8uxFe+TWUr7Fyb5vWvE15TbgH0PuHRbZqM++a
nmALc4x3sU+tlQrcetXPA+v9PtlFVYXAPckAtbbaF9CzG89Ll4k8Cz07vIqA1KycLu6PliaKDW/o
tLeN8XYEyyhyBWmkhJuBF2OPdNTjY1uHhxGbUKCtU888RghMqMHdF72ZYxxmaFFHC949oyUtqu6M
ONgRm1P7YeR0m5HSeyXD5jU1GOpqjbmrbXde9VV1gtZT89Sou84eLy29SSjfql1XcNan6moomUAq
MWDaGm/1qdxgcJu2NmL+spJ7TWjDfTRP3XbojLdUUlE2rnuTR4RlzNls+v/WU6zcMT+yz/nLeup/
VvBUf9vf85V/llM64iIHqZBrsCh/T8L5tsSnv3csa1EX/Sku+lZO4bX0PHBKxrfY8j/be+cDJky0
dfSU/JD/UHYEwObXakoaNqqoZWVmCoLSlz//oZpqOtQnfeppV66dw1UuDz15LKsic6hWFu9YCk1f
W9xkCbaypTCDb0CNMWA5Y7NSrjNMaPPiRmPbm/i4SkvS2PCqVYtrLca+NmBjK7GzKb06TZ15YEns
XaIeqjcW1rcAC1yIFS5fPHFhm92Oi0vOxi7HRpjgAPxzganfyMVRN3j4KeqkBjTqfh0tZ9wmg7rL
DcIQyNDZzOlMYIrmzptcVk9WB4g2FtxtKXb2JFT4iUptW1R4z4XGhQE7isB0E6dYl18QBDrEazso
mQ/g89DWwWi9qKzXphvSur1+SxbNwBFbNi0dXpXoCiezsLAkQLFg/y63SrCq65sJmBLtILp5c9Pb
TBDZ4113ydRShkKNKBnuQs/50rruG6HZ1FgxcF6zvcr6B6MBWBtMg/QJAsd/MJV37ijSlciNFxhX
GmNlbAx4Ilg3lf3RCZrmotKLz9gxk3pdZBFpovbUc+85uWXcVO9FauTaa7bW93oEct/tUD6Mqb6M
P54Kq3wkCqhEwjCWl0xTJl9z5aZwERWF6lBQJTei2eUsNjOq59EOnqjKQYekVNYlVwEjdP0gOmgK
Eb83RhgK8cBBdK8vZww/z0cvbOOLPkZIgBV/WHkioMoYzPyMKPI+WxxHueKUx3N8tN7tSO3iTErf
TUr1u2FJgLSajemG0zTF1NCQN7/4m2ql34UYnoLF+TRD8K6wQmmYtRip3NiJe8ANvEv7bh8t3qke
E1Xr5edRYhkeDYpPbFYWSNZmwGOa2B0W2+SjjR/LLaPdwKgAekYIgZwbCueWwsFV4+SC5/cUt2Iv
FotXspi9GPYjSsD/NfYDRjCBJWzEG+YsJjHecvKGuuQN+tKqr/nZtCm0N1TGwBZxmY0zad24zoya
kPhlENx22WnGl5YvBrVpsaqZmnUXd8PnQoN71dzXnRC+rORNiMdNMYYv1HyBw/hRl8mwTnDDNbji
gFAQR45PDjzxS74Y5zTXwbbL3tHEU0cARuyLxWZX4beTgSg3OozQ2ZmvBhx5ke59NBgOlI22LnHs
GZ79GQ4tjuTFyxdG5wFvX1UPlxFev2wx/ekGG73FBhjj+AvwBSZ5cdUtRkHgpZ/7xTpoDlQri5nQ
xFWYZfw1XIbDYjcc6vzg4T/s2+LI35zp4bAmuotJMX33K+KomHw4h7gYI+T7BmTW8DnB41jYiEvq
xfWoNXssnc8gtLeDZKGIOzIxvZcWt2TeWRqE3XZtis5v8VPWoXqaFoOlsYz0BgvqpdHdeqLibseu
Q2CL+RTjzxwgzmeLYbP0rBsTByee+BtjsXROc3+ye9YuI27PoCAoXdaKyC13F3vpR2qHy1BvHtxC
6VSdlMM4Rw2VnSKcpERUfUxz644MMZcFXP9q5XzU9BosvcFwlfVbOLFQgDm8zwzInPhVeUguysXA
GuFkbQJ9C0ad9Qu8m9yo1vNieu1xv5a4YDUJStPEFlsN2gFI8F7HL9vW1SHHPzv0gKdJORtpf9ts
vmHzgYonr4isqI+j4pH1GGjleHIDvLnpgJ2gsg8tnt3GUhcRHl5hRo89nl4bb6+9mHxtJ9j2dnRw
cf+muIDFYgee8QUHBqwMfMLFYhhucA5HZXqEnPwyZuadXFg+BjALUVa6n+A6huO3LXAhY4U/xriS
/61N/qhNGNP/XW1SF5/qL/HvqFmL+PhbfSKsD8JcqgyiKP+oJ76LDAFq6QZqQd3Fe0MMxPf9g82f
UIRIaOyOSSYyQ6Jv+wfzA8uMJaTcdih6AEL8k/0DroJfChQmRtQ5hF9RnQD10pc//6FAkQQVsHs2
oystZQln98TceczwD04/VS99bfIwtVVb049NmuvS9s+sGIKhapIHMAzJRs7sdK8KAhfWsNhCKPHA
ufobbLjl9KlDZLlQ8Mdq7gwY/31i8AlCWAn7ECQ0wLvUFdV8QAFZh82uJW0luvPadsneaYFMFhog
jRXq6OQ+L7nDmZ4nBrMQfSKC3MuZJCDr3irCHOYSNSL54rFaZXbnPhai1/CgJ23/qHK55EzZap58
q2DuTCvAjpbIKe/aTHv1bOZV8qzZik23FMCyRJ8FzLpF6K0yL4lPM6u+DlDVnJNdFROQKksDPpKe
+7mZdCddc/Mr1yn62xy5yKbuUrg8S0Tonj7SplupvBejyLEeSkYV9B915xBS6MU2ygaRubcaDddM
ok4e7zNI7a+5oS0SC2tqCn/SuQSNLWj7hEmvZXYgBrzebHc2qwetWcewd56xawuxSXsEH1Yiuqgg
WTUKZmfDGTH3qBcGk9zEPYt9/tqk6nDnshq6aeo+eTFl0dxIt3FBQjmCdQHqyXv08FfSbNRwXWq8
mtcFtFN9EzZ6mfthUDLdiwzRBWeP/LDnFBkow5IuQ5PiLGkZQ6HH2V5/D9KAbEioRkX1NhK5FVvD
mzN44RtrU3eHBT/AYh+VC0sRo2ijkeSRazisUi9unoj+UvW5YjLOFfX/47j/nVIvnqH/fnLddyUA
/OKN8+k9K/V7kunydX+eWXJpggQSf0xIHmPlH0bUOqQ/GNOua1j4NZbku289lfcBu4ZJ5J3hSP7K
AsT5dmaRwsN/WNiewpHvg+1/sDMFB/rTmfUuDNSxMCEehfOL3euXM0sQqplrZZ6fZzu6gHKA5qok
1Aso11wkJfemY4H6zE6gaNMtreNe78QuBsISdeh8GNfJwbgpMJh2prgYGvUp7aznoGGKXLSncRaX
obT2c+QAHdDKyY+A6TZTdtMTGL5x8pxsAMfxrQVhAm9L+bMYAONNzFiyNGoIyGiLj6UZwaApvcsC
8YwXLcqvUoKLQkNXy/SzQ8oVEKjraKRBqIn1UzJ5GgRhW2XhnD27QsbcpWjZBMVC55RfsFEmK3uM
Wn+OXAfOVSoO9uRdtq17MIP83pzGN0RKp8aSi9jlfkCiQTEf7kqnOzo2vquyd85w4y6yFh2yjOwH
uPhrjs2XgRDUZkmLqwXO8EF615asj1nOrH5Ir5Ih2SpNBPD5mPDge9GQQGof5TIJL2e11u3kMqqx
wM4KqrxM20Nh4w/PUwB5kSPzrZbIl9HNr4HMABzxyitV3TAJ3+aIByeXpaKN2M8cbyeBsich99RE
V2IKBvmZ9tRbwUfuz63TdR3qJIp7M8s/w3l8UBpYrHzG6SLG5GrqeenoPW8Iy0CZkjr5Y2UdSPAh
Db31CGNjUNtfhbq3DVANrnIbqfTU9XfRRIQEqJEtwXTZuq2Kx44fI6hmvC+xNq7YcO7sWOe18YRf
6hOTad6HJNHcxYlNmNIEvXWCqRx75XEYgi9WpZCUOs69VTr/j73zWI4cybLor8wPoAzCobahdVCL
3MDITCa0Vg58/Rxnic4SXWM161p2WZNBMiMc/t6999w7DUjlEtn35OfgGXvbjWjIq8GhN9GdhluS
xjBxgtpAkKVOHryg+AooGId9zjIp/ZYUzVPoY4YCCTUuQ36pXRUY4xJzmrcIShkuXdPcWIKtXezi
NS3jlIR6v5r9fGfPKe69YZea0OSKXk5rs+0/iDpUK+FgC9Xd6oW21bWP104NG9SXZlAFwnJmOSGN
Fr21kdj+cO7McsIYZ/jVmcXaYz2nd0HVe/D3EhJ9MXZWtqQePIYCkmRTHvVSZicjTzG9tS+x455s
Yd8VQxkv3ZjYkGbM8zYvmC6KAOyAPxW8My3zS1XU997AP7xNWeVkz+Cug2/BoIEaHOw7v/Luejzv
o8WGzgiCvUuX38LmTb/wHG8Ddo/hwsBzZoZpi1epgaxSNwMCxfSGhATNroWPkfEXXXRaQ6uOttJT
Z21MuCONDPWBbNoWmHO+ntI7WnsNzISLIZzftHR66wbnIZTDQ5qxmJTeTWqyQx7DWeAjs2DVxdrT
5FGj3mXUI8/dJpoG54ANbFxUBpg4jLTEK7TpjX/X6UD74BoqkGAAA5xowt0zZXvOdO0M9qBYx95U
rEFKviFJ7KaqI9LgsNDWXe410+i6i6lBiTHr8T5XuL+6BVMHLdlfkvXk51FYwLHnHch//24qZOBk
Z3RnihjqTqbd1b3+0SrAoHDy+FC67mMFe7BVEEI2ZR9VpV9d1jltIh0wqQALCzAEG8cg8aFghgFU
Q1kI/rUV6LAmTIqbkXdT3xWvQuEQSwVGpNaTLZaCJWZQEwMWSTtKsN5qJy63PkejgLBY4z9ZRpE4
z110bTML8DKX3tUElxGTy8hCt7ypITYmitw4c1ZCcoSeYC7LT7hj6b6FYXUgY3EwFf5xVCBIW+8f
mbyNJQVD9TpL4G02Nm/qtA1eKaF+bSBKRi1oyTDTdizD+3XOAbcQ8CcrBaJsIFLi6kVjtJpxOSpc
ZZg376qehOjEsoRnyUG3DWsYTiakS2JhTynky6b2kL3S/lkoKKZh0lWkK1Dm3ILMjD/hmWRwEPwB
amaGtW/a5L5wrC2xu3IVpBRtptyafaCc9iedU3E6rcphQWI+Dc7t2NJB+jLGRxFZt0VSLzzInomW
P8aQPh2F/GQhcjEVBLRSOFA9cT4MDnpUUv8GTg8fbQUP1RRG1FVA0UyhRWMB9s0HqVpld4Nv7lwF
IQWxuab5+L6wnWOkMKVx2D/Tx5UsdAimdXchL7TobLZnIeZJoTinmSKemsR/lshszwYwVMRj+i8U
HxXHytlXxFSku3TDAitZzNAOqByBrGqDWB1BrRIZ1ZYt/Wo0WZahD1mkt8ydkOWHF+fReSw6SnDQ
mmz3OSnzcYvNRCkX9TxdjEiPl1HLv7M7zc4u9DpYRMGy5Pw6BN2MMc9qyqs+a/MOqpbYM91fcP56
3lsvpmk7SzZqUeVRiDSwb/Nhzue2cTYre89pdHCoU0phDyyaTptXWiOsJ7hknBBDHS5Eq+0AC1+E
aMMdPScf1qR/IF2988hBTMWkMenaKvfclZnq/Or8jK1llKtUZmQdUzDqYQTQPsGUGuCeJvj5Ekmo
XJNBp9FYR+vaaNn0Yi51BrqKPNc5hvyxq/dOPxgiuKOJa6dpo3mJG/dqVTKgHjs3lmmmP/Ln5ylu
ZB+IQocBkDHkbHkL1GibeC1Zf8stNoXUAaw1uvI64ek16vGl6CSI7uzeFtPKyexHlrw3U82yi/r2
PaucTRMjJ/I5QeuVG6Or2OaJrxyuN4CyiiWmJ3ZUTn3H8pfat8rYwtznkW2gQ6oiI3fGHu90WKST
/OqiUVMmFsGOIi22bmTH+2EMM0hVc7RoHPZxEmda5eCTikvzbcYKhCw7ktskq0WA98Il96VpqpN0
M3dZ5trawJlkj94rj5bNMJp3mIWPfHJ3rkm5XD1GjxXS2pL+wzPVxg9eapwojT0GWflsV8YLjgaF
0HWfW1OeS4nINsa+tkg0hXK2w6d8ItZqaNl+jg+NaM4yDDfVaKarPvboHSU/62jOY18N51niIyvi
90zYBxC3Gf/s04nWuX43NVO3LqRzzg1CaE7OQahhsbdjZ0UnDbgtk4LF+dg3lkU1DkK4MzvPyZjn
Nxbma5b3nrbQIO2shkgwRPa+0vtpNLLzYoIA60I+mZtdS3HAqtGTd3fkDuPJ/satEL78Zii3BN/a
U1434GDpksKS4XEoBds0C7Stn48Jd86g48Nlw3QSD06nHZzYzbdEBfcU62I2zyorYRzHmBf/m9L6
OaWq+jr++zh2z5Y4nsr+z+OY+rpfxzF0LBJVBplSdkXmpxn1N4nLAq+OWcdGsiIq+sM4Jsyf2Jqw
01E2VnCfyoL0yzgm9J8+hzAyXEJXHiT3H62QPhkLvzNCE9HyiWgpJjxxWWJfv1shGUEPmLtxyhvZ
6O6mGMhhiEqAMxTjLnI5BYaJixoeP/3KL6EfdarQKJQCmwWMUS9fqPltz46nahktq75PekfsbNm3
lzENqm9VF9A9kQ3xKcpcVrsoxvGy8jUomrmhyZu2ybtrnSTiVdPpbjQCPLbLIDCAkBVBcUnDyv9G
4/gdFgsc8IahHcwwopUJDMBj5032a0ZRwf1o2v25ayN3n/YFCwm319KNYWM1tXodSKfVmh+l3Wcv
QOKLXWi3/qqogvZtoGl+zVo/XruNzwGVjMDNoqG6HSEaZSzq8VKE1Wpgsc/6XyOT8BVMXySOBuSa
SW66Mu23xtz12gdd1KoxSWTEYeqgLZqrG1Xk0kPqUe+jhPPIG3sKEeYOG8B48XythNYZikgKsKOj
53JGDhU5NBv2U3x0NC6dC7gB03tCQArhDBnNrwP56oyZ9cY2z6a1GzfjBrHcPkw9VtZuLGeu4LaN
/wrO0TEcabKIQ8OnGXkI33knxUuyFfNb0EbzhxPLl4baxCKMD5qLFyE3HE5Om429Vo0hFn2jn7Yp
l+NjaHTTKS0l5VSdT3BP5iX6YDyG8abNO44WHD9U1KT1s3DjbJ/5xqOV1tGO+jTCwPo4LGyv6XZO
0jr3XlSRUtE6/xHN07mANNBXuamma7Ozywd6Y/KPlrLFd80dtYOVde6ikvkVbAKdnd0gt4OmtXI9
ZnXdrcBgVt9d+ur3JNaKO0ybylc7O1/C2XAZpdzkUQYpEZ9EJOdWY1Fo0BtAZTVCVJvCxJ57qR15
85IUdIuRCvEmeIF9Mj4WPH7WfSnjew2m1000ZM2yYOdLZacQQ7toW8LF9K9HBEek3VIVygWfvJ7t
7MzB/PAdnDkZao0crVvYfESN9NIxPqqymjd1rLcLH77roqNH/N+z+Oez2GKL/jdnMZyT81v38Vd5
Ar7wt8OYc5VgBzhHV3hkY39v37RNg8WX61ukCn7c57s/Mb6wAGNdr+Ph/BEa4P5E6RMxaNv4f7Rg
/DlNQJ0GzgbbVA0Y5h+3+SQue5r/SMbo5U0TivWUuKsf/ih/kd3m9/sh9aJ2b+gRoKsZ23Fc2OIP
eQVndFOrd/v+2orkELtPmn71QUGKnRHcjAOa9vrvX++zV+RvX1H9RD8oFCZ6cMzWvoe31nMGTmGH
t6gtTTVSle3t2JTeYehIwTqpHSxahzjmVK856AJ73eWdS6ahcL7gwTL3jvJ5TcrxxfXaWlhexPol
eyqUK6zCHjZo6XcfuxiA2JtS+ce447Lu4aO5LJS7jEYn1HHlOMuV90xgQmMxGG/IG1tE/hlwA3JO
y1i51njwWZi5dUCDJmfACKYfi5s3DEe2pwSH4+GkYYLD8olxLiBjWGOQY6ZaTM54G4DFJs5n7ein
vhmw1CEj7QudyYvy12OJ6Y5J9bFRLryh+DJgypOY8wbl0jOgzdNXuRUVbVHKxxc55QjfEm9fEE3n
snfne5ewlWq0Q2G4L+mU3Tk1l2OoprsaVHR3O1fssZZ93rCezEJx6hDfL0U+o5C03cyyx6pRJb2T
44xnSLcnbAZ7mcKu8QPgtemFceyZ6AArObb3wCxVa1P8Vdj6t0wr7fVoi7OsxCFgBTKk1akLxjXA
7j0D5Y0+18siqBE2phMJkRMOsHLVzfRIh/Z4bAf9ue7NtRBYSfJifqSLJVywWEkvcV/cFGm3JWx5
Sef0oJfsTyUlkAAo2QfVEoMwxAx9IeBEkZt9rLsJo4Gmhxszr/p9348dLkmzvfXiejplNCZsCEuz
CP3GZeMqIu+u7RuD3VDGfSBqNgbI0CCLb/pCux+HYhOhEVPai+Et9lF/u29uhGZrOMmtCdbU7/Me
O6MBjthZweO87foSyQO7n0PAc2yGDWnbFdlJbjX6qixLMm3iJg9oRxolboQuS4c7OUV3TmDsKcpa
eZX3QohuKV27AYGqYSEiL1jguMkBi1oEaOY5wINDatpIhw+d7F8BLLgWBrO66wOYxptsWfGaPgp2
auENhuqzoE60tvOt1G32BLTBy+DYtuWuIXbZzp1i/17gI65MVHAOitsJDwomG55GFqVsRGKeRNMC
dYWVV6uAH7vgaZfSmLNvMhyP7BMg7miHtJ0fUJcIH2UdI2x5nwz6KkkggZOsJ17vmW9+n7wxoVAU
ldG/zqJmiWtgWgTtSLgkGLzd5zHzrx5k4Tj7+4feoXyr+7j48wyivvS3xx4zAy2MCBuUEX6ODL/J
2IwnDCY871xEOyUK/SgJWTwv2HLrICDtT3PefyQhgA+/fLNPwMQ/UISsP48gyE4+D2VCdJbOk/kP
RBHXw2QvxdRcJ21wGNrN3qjhfBdesnfQQ6+xcM5xxP7HsZstyqh9W0+pj7Ks31mBuEub/oP2tnoh
ZQSzfDhGrrEZrP7ErnepDVCOC+PkFUS0TZdGcyHfJxrP9YyVmtXnF3AZmyB0T22kbcpJuyV89OhO
xbONPd4LapBSHuIKavJUMF6Uq0jTkEoja2970RPXviVVRqAhsksPWx94+YUNBI42R2Icmbd2Y7CO
CB9tMNAav9E6a8Z3P+7OgY/5vbG+WCGssK47FIGz6Sz/OIj6EkTRxWdRQ0ICM2x16aHJWmV9xin1
DBJkF8EG9wkKaCkyj5FcSo3LaE/Yqp1XkT5ArGhvoqg/h+O0HEpvK4D0Qke/NDS4p/73Fty7Wp/2
8Nb7w+x7b8GI7dehejIZ9hrT0WC3tJrMWy1JVpSbL5yquZ/aqV0EMr6GVP+mLtj9xHm023w3T+1d
7nXvhSnJaRWXKKhPg6NkjP6QN9Our1vmIC7qSUXLEQj2QMWxxZ0bscD3tGrXuYTQRTae0x4mgDHh
7wnSN6sUSAfOMgKOtMh699pr3Sk0lTt/2De0jQO6vkt86s/14ImYClZJa+1Q3LeoAUYHCk0eBXq9
VFYecuPjxhlZpWUTTuwydt7cAWcly7WtV5HuDmWFtwsoWT7Kd27xPsGVBlbcup38ETRb6zXJLiFF
sqdduUmuYp4lcXpY3tZ2aEhb+mh9q0Hl+lTAr6z7TPUC3qVlVx0KBzWjVYFAgxXyWdrzsBomXO6Z
jEFqFAC8A2tO7kzD3KbEKxYY3HZJYUA2N4im8CvNy8JkI2SoYGJS0YDVqbBir2KLFD7YBNin+1jQ
ptkRcSfATW/RrAKP9EeBhCIDyfxFnbODxzEhH4lQAc0x+T6q4KSvmQ8aScqSRTgJt+ts2htB0hIU
xYjVHTcgMUyVZfAAZWjY4ZJzo+Ka/H8JblZoeBZZzlhlOktqqVTIsxpoBAxU8BMbFuT2SryHVGhg
0leR/RZ9FKWTRwfaiisTntC4sAfR5wgPBExT0/tg7v9STOajTQKVnz8iqae3S7S6TBEUwkWkIqt2
AfekSonDDJUBaqlZWV58Hci5Uu39JOT0vXf1Q0IOlvIkiqE0VpYkZJGK1rSG1hc0gHqTqxitqQK1
JcnaoorCRein7dqMBmvVCzQi2iRfxmTmr1zn37TS+4wOKdx6WGySVO4DLdsmOv43fx5e5xKGCqjq
a6y779Eg36UYuKxJ0iGYe4lY4jZzo4x9N1RBs6Z1oMrwG1rmNijNlw6o/IJjCm3I3vO8bRe9E79M
ocU318TXOKgBkPjEdvvuXaNetDVhgMlAp9MleLYIUS4nyoJmkw5xATYAncZcio4lztxUDxHu0pWe
qDQY1WALGQQvlsI1BGQAeH9Zm1rBxX3k9fUcp9OyLPlYNqMH6Nqyvue6yfAdhD6aWLOIU8IhY17v
6Q9w+NmGQ+W1V5mTt6LBHBXdIkuiXyIcPIWuHxh06cPQfH8RawgSvS5PaaTfj2F3tIvoASmPvqeE
PosmGRaeGK2VI7VT3HvGopjSxyYiJhDjh11lbkVJVhSlxaYZWcUstVKJfTWN41oyRHtBnjbKBkGa
zNO21J0wMRQsyYs2LzeyNw9QgG6rvGUzY8jsNi6HePnvXeRnVx3D4t/fRU593P7P9T1uq78aw/ny
X+8jVEDj+Ie84BOmJIbPIPzbTtT4yWI05+bh6+QifxzDqVKiNtqjZg2fClM4X/XrfUSQolQTPTeV
XyCl/+BC8qcxHE8KbZSwq/h++Gb/YFBpAFYREyOuB4R90ZrHWPyCNfuvja7sf38/iIMhB4rFN2K3
BPv2sx/7x7E4N0qdMNskL7Sk7OF0go4BUt9s3FyepSWdceUWU7vl/UsJAOMfwknn2fdmx5gKIdN3
zm7j+u2+CIP63DeaVy+Z65z67DiaLteipUGJbJKB4b8lc1lWo14RXc9pRuS6spV4+rYNzRHrkcrp
LZ8vnnTlmGwtp4IcNzg3iVuE2yrN9VVfEsyPtTCDFt+UibYtckjX90UzR99zLHob62dOu9fq2tr/
md/uZ/yvtVEJogeRyHXrvvsEvvO8rW87yU8R1zMSo0HmS0YvVmUAUoko/ss4gVIKV6yh3hJwOI29
YyzcTruwln2yU+uh9tv7hvYNqhafHNQTLAQ1GbRYnOpGrENRn2g5gS4YppTi9DHuReeInkaTJcyj
ISy3pOB1apJiAv7TAZP0a5UkRFwzl3VsWV+b2El2POdPvdTfIyed4OZY7lIEyDZeZnxEWZmtJt9f
T9j8F50fm8jdaLmdlEC0rGA+1lN1HBBlZJ7uOuJy2zyzm1VszctwBns0xucciug6sAQlSlG1nedm
HwCNieya5wjIlFWopVxwMJ2ErbEvWtmsmyi/L5vuGFlyJPygO1+nAdFrasJxCUBjIyveqtKIGa2x
QHIJI7UY7GVVgw+jp8tIeCilMPpsz0PMDBNbKYX4aqSgHqcobPwcvrnKAwH7dOrONbolBIhmT5PH
RCZY/xBO/w2UmUdhnZPjFMpZAEepHd9WhZfjDxexzaCKddllRe/Dxt22nv4VftSexOKlM9zHDjBr
FgUOO6CG2xnpMMs4zbl3OxTFxgc1QLngusXWlTtjuqOPZ+vR3reqLf7wiHu7Vh+eWbWXtCmEK9f3
v2BdPZd6Z2HIkQc7029mvulg4GyHjjQLY9tX2pvZGh+aJvfAHE5WoO1890kGX0pvPlAK4m3sJFw3
ro0xhp5sHtYDt5m+I9AoaEywzemGsnRjaZmpswhS/zULzVeLANKqISjqC7Kso7iy6J5ygTloZmVk
z/XGjbQHT7aPIh3WMqTCx47Q2wfCMHTc4pEcKI0q0z0zGeDLwXiqtOgBYtajVpWLuRg36q5suvJQ
+9pBSn1etIlzgAK8zZyMR6vbrjBUkMvoRXcnxoTqTHm0E/0LT3vUaysjNFISTDGtKrnkQqY7qeXm
a4nG8NJ6JXFaOU3BY94F6Z0M3JaxKTPWgjpXwp1dtKo1VbaTdVCHOpqgalPTVyMfi9NQ2fGlFzPC
RNYMQbvsK7KAK0pEXDhPvroS1oH3PjuUXETYHDRuJ+uhdRhnqmAdZBV7EOG3vJktunfocD0iLoTQ
KOy7TmfTZtVjvQqHylsYRnKkhuU+r1K8QAT6uOC14Sb1xYvj0LzlDKu6R9d3ZVscPCabc1CR4ZEz
T/rUKd9FiNLs1FPER47EkLAf9LAi55xM6TacwlOSky2c0uCW6ov3XvqUhScrLzGxBGr6feDwr2xV
X9DFcCYnuyHpvrvNeM3sOQH2R0TcGrNXM+mxyLlfGBkXuKVoZzXAEpPLrsDWFd4iURpDYK8mBC8K
ltZJbX6DpyeZOexVUgyvgxVQY9RRTBb3X3A4bKqGf+Z03JiB+2wU7ZPdM4SSSQVMltzLbDoV/rjr
araG2pg8h9G0j0c+olKeB0S2MMfyomfOXdfNV4AfrzKyL2UiyK4OzyOKtDFCNXJpDRwE043UaSkQ
RJqc9AvoMgSJxNmKxMaJmTGqdl5Mk6sEOk0V5TKxnXtIpPwFMzJXYeE+1EN86Cw6O9tYf+VJwMRW
EoOPixsuhN2uTMJneyJLSoRjZ0OY4rhZccun+ovfnrDlyevdXZOGB0xWr34FxHEul5WXXpFRdwRB
EFgC9rRm+qZ5aGJjvOspQ1vUffCmd+mBv/UqnmWx8E3/IPrptq10fkzRHhJdY9/lfAmIXQxM+KIb
7gMq7Aj5zRvoO+Uij6MbXcjvgQ51dSJ7oQvi7+Ycn307g2lYP+QFa9K0KHdDONQ7z8+nE/ouRbkm
NWTxFyfAKNcwGJhm2cEP041FKcR4o5sGYDr65Nap17wUNKBuNN276v5Y4qqu62MLtQzKtMw3tuN8
xSGZr2o91F7GisVhwpZ8Pen4xC0RZ98kTpmVaeUR1aKTeR6jNvg5/vFfLyFo0j9u5lUTirDYV3IL
AYVkOPiEf7yCGKltAHMMtEuS0Gf1lPrvwt7+cAX8C7nh/3oJddP6Yfk/8S52UmgrF13VETPBV1eZ
3Pz9a/we5EUy4/PXcHQg9TRj2iqX+uNrmGY/wQmNw6s+8pR3r3NH/88D7ti/f5k/KCefL2NzacWU
AXWKddnvXyYsk8ly0yG89iSxaubOlg4srX7sBcIJdVwtg4/9cyfGv2tNgcngb0cJBWOB/v7nrab6
yl+niM/VJRd0QLfgUz6N5L9NEeZPlkFWlnCM53mOy1f9anR3f0JtUW8bGi4YIpTp4tcpAhYL0piJ
L9bVQasY/yicY/7B6M53otuC1gTHsXjjqB/l928ZP0DiDz2P/jXWPBsDGXjVmOCiMlk8x43lrbnw
G7yPIDhlqctdwO72tW18H6BqLDDIjwdKsvBJRGmy6vR+F5bh2ubvAQcL+assemKm9MklbvI+Bhh+
aaBiE1IQVstU/Zyriui0avJvojp/tBuCmfVoTWTkKd1LWZeFXbnU42d61h5geBRXV0VQ8d+Ni17F
UnXuk4ecpGogwpS1oX8LygPxn9g8NrF+E5ok6Qsi9Yitx6SS00aXxRpx/g7KyVWqFD63eei2xPxF
vbVVTn8gsJ9j2IhUgh+O7bm1yfSHnbVN6TJaBsT9J5X7L8NwWLuKBWABBQjj+h7W0gavBJxsKqza
pon3AyABw4hcFJbxMqhyLm+mDPYTPCCpBVMoApn20SprFIVsvgswn+xsBS5wFcIgi4nN5lAN/Co+
+ApzQDPVeoZ7kCgAQlzz+IJnsB0VHKFWmARNAROoFIoXPVjuHpaCpaAKFnQFkIU89+EtsJ0D9PXN
hMLg8u16hWWIFaAhMtq3iFgwODFcWgKKQ6JwDlzSDBZoBKUV6mFS0AdciDsPCgSzHz7a3DjXChCh
K1RErKARqNHmdjbNB6GAEungrzwIE7S2+AdAKqxm2cA5UCh0pU954H7oyju2ZXczwqvoMn1Lr92m
VCALw46ffQHaolCQi0DhLny4FzP8i6meXtjnbeCLfBEKkJFbwx0kFDQx2Bm8slxLaBqDwmrAgbMW
tTHdJAq5EcDe8AlPnQareac42F10jWGyzULHjbTcXdcugaj1VLQ1HI6NrXRf1j7VJRw091ApVVh+
CsTup1hsVbW2YI6GnOKNh8G2aGxzN00ldyqANNkWXLigefUFuVMxFci6FS/BxpDN5K4ZKUPvbf7E
Hl45LY/mR6sqiZyY7O2tyr33aufYGdNHFtXQM1P7Lgui8OjMw3rOh4tJ2a4BaJPNKVNI0Ubfkrny
WQG736TrhkjQJKjtgRKm0mhvu5qC+qA5B4irKy6MFR5tiDjQowk3MJuWbPOD0CNiLye+Qg7lohjD
aZMYwfesCm4y2gtXIu90Vph9uXR6wV54zo61WejrWXfqXdjjZaVSGHfzYUxMAmSB+ZpULNwcp+tO
kdD0swUn+kPXg/Sh1EW1ywaPC6qRRVxCPg/lf59OgivE3zydore2e/uLJxNf9cOTyVIZLCAVtk4D
GXeW355M1k86ihnLJdQuvB48fn55MgnjJ9CUPJTU4wm/iVp9/cfzR5jccnwPMQ6XHrTSf7Dfsq0/
UcIoqeK78IS00ffYwv3+yWSqF6+yOrvRObcWtmDPbIjxiYVLuO1q7VpFjGMwWs5pZkrOaW9XT2GF
RRVJAjvsB7gfLsv+Awo2OGijxvtv+WBrQ05uz9p5Wb9xugAfsLEjVrPOKdFcjNx2Kct7be1u6cSo
xxbTRSvB17jJmarEDyDm6xEJp9NCxlij4tgTXx2WVeHkkytqy3SpxXm/S6pm1/g+9Gw6z9EqZnoy
wfdFC8MeqJQsH12cLKMZ9axHRLyNZvMta/QNy74XtDF74wZBv6zgVm4bIwuXdB8BunTaA3rfsPGC
6tiZ7AmsZJ1GyX0woKJIC9zVUElSZ4KNoFdtRifXKTYW+tEixrOcvZEPZoEvkvPt6lvZNzNmszOZ
WPHiEE6RNgUPTVbyMe/lSi9GjcMkOacY5VcxRTZrGtUz3OyuvXQlcHd38tapNh0iu2MbNGaPnd1o
tM0UsHXK2whI/qLw/AMpWQQUuzv7hflQg4kyO3mLfUVb92pI517MBtz7js+SpZFZ3MoICBzlAK9J
YtxNbcW5FJQuGVcrpy/depjz+JVIyGrMOM+J7DO+xfFJACRIav27KjTfJbMktB/30zpqHcK2gXXb
d9FzlPDzh3DrEWVJwzoUVpJ7wxNYWAI8A/pskiIsZqsxhLEetzF8IQO4Wszr6LJdTIFfcKOJXmCL
3slGyGXp4Z6cLforQzdd1EVHdmHy4XUkfF0GWhvgUCq2edlfy9JjTg74d2/hnBmyplmgejX6+ARN
+NTElJBqocHyy+HBKMwCrFBL7TwMz26RdNU2sEps7j6FvrbLlQVtIGzji56Ur3VSk3bJ2GvRIL6S
Auf3yA86DtwcjGzY1YZ+Y5pEN+xRNR7R1hT2+7aoHntt2JZtQby/3BChoWI9j2GqtoNPeGckjp1F
8PP04YXRG7sjMnUit2NcTWwGiJgVDsmHid9qcm9KnEXL1B/uvTTbECCo50s3nANI15Pu70NZXA27
uDGHYMd+4qr1bKeGCZaHujr2VBFiVJmhuEEDdLjf8AYlZOFoUcDGRuUV+aZFbldLWLs5mxI8Jrk+
fI9Sma5kbrlrUxk9rLR9l8gzY+mh4sp+X+KlBPHm+1ujsPeRwVA/w6howBdY8cIrfLllK8V1VVpE
OtyIrJjm4SNiBxYSgzyUuDJR3sS3nsq8TU9errSGF3LmXzHHJuuyJXITWuPN1EPBo9cGXauD0c1x
NFhL9iL0sWKT7Y6cPVzbvAr1WtZInUXe7e0Cb8zGYjllPw566nnbCATuthdonuFYF8ZCunCu4Y6G
0lh7hSbAwQ6m5e3wPExUp1sgVC9QNab+3tfpiL8f/Uazjr3sSQnasFtemlmYwzXtql0ZcvmrEkxJ
pUgF/HAKdWt9fjOa8K4FoANYXh6EKPpNozVozZpztF0JTQdRZNFnzlcY6S2rWYfQZSJeUs3xltHA
jtbAxnqwSt7MaeGlaGKq0MYuv1SBeANpA3HbS/KFNdffkXzBigG4gQU3smPUKRZqOnCmUyrPU9Wu
ZOwnG8h6Z1E0t1rQH3Ov/ALcDTyIxeUZPa412ImHlZ0tW0seWCzZ+sjaya3eYjqUHQU96kybFiNi
x9xyx3vdTC5B65+0ZHrNIvP7bOh8l9D+ng45gl+80uaDOclkJWyWvWFzlyr+pB7pLBspuD5mkXvW
ybusfFm+kcbbR5bFXhJD87IGh0FoMr84bjqvHNtnEtG0W4QkczW69oy3rD/PhDl9m+AMf4Vq5xYA
9Vp2wVtLDJztUIBdSjuoRmYBxIbjoUtXsx0+mw2gIE8kAR4OZiov9UdeXAVdUn9nzT5yNRznlYVf
Yzl6uOdyWY1rIL6nyiP8wu4cbdhwr/FYnPvMhYJMT4bPfr3NW+5m3Zvjj2Q1h/R+YvLhBsl0Fvg8
QOCxPAZ93676kXBxVh4SLeVn7OeXvvajDZ86IoUdWFcgD0SMy+6j9f1HDuiNTsIzzaOObKS1s5Ly
kcXbVoth+w+hvmeeI9VT3fl2+R7zoGP9rl+Ezvra5nM3ALHELmM0S1tv9qE28EjoxnAB6CpheZ/u
fTLIaCL0r3hmvW3teFzGor2mcX/DTWRTmN3TkCOs4+WGbW3yBuyFXKc6lVRQtmtwh3Q8a0Tqli6j
yspJhy3N1MbWwWi5x+fuLyntu+oVoSpKOQ59wShYOwDxWvmYwQFCQ+EhyJG10eI53GqjQYW27yyx
UmO/4JOG89y8cQwitlqLv6cr9Hw/m5m1IMxN+zUATTLN1l6I+CbqkydNL1m5FVgFOeQ44OxxN+cm
HwnbuzEpn8NOgQLulPJrUYbPNM9CKHa/zsL6Kh19U7XOS5mGL7B9nVVnxfsgr1700ttZgoQBXkIr
0ZACpnT5v+ydV08j27qu/8rUvi9UOVycLW0HjMmhaaBvSgZM5Zzr159nEHpC426teYy0faTJulhr
NVA2wyN843uTHOPKX3YrEZXRWLC9I3IDm+AC0jn4eS1fpbrYxFGJs9f703/L7md8WaDAfyi7g3W5
0ZyX3/pZdsuoZvBrwR3OeCWs/Sy7MZLHDMGiwsSBB4jmZ9mtOXvYtNgoYIwXGQ4PfGsIOXuw3mBk
WzCA6fxh5PIPyu4NbvH0D6FnYT6Pr53qPJfl79qho+YnvpoFCGlQisN7HcF2lR+Z9yhDZjOAJEsz
PQ7sFoFn5yAoy/n3UrXO0ImeNcSSAaxcxg1gQTUC00n9oor827Q0FgVNBy21T0hwqSeVdaeYOnqv
vp6PVnRUG2A8WCaiEvZQ3vfpt1BOMYNz5HhaFHjmki9+h+qWvVY9MpDUk2mzGoWiMxxvVV0CWe5r
SlH8HvvQIoomOKjgqU/CdLwlZeSgI5AMtkl9Don5DoOr69HOjp2wuMWgIsGjWn2S2PWKsvke4dY2
0Rtjv3Sk/dEazxEQWhP+sgUGCs2U0goXVtSEmsuJZ7ndsoYeRR1sAznoC6vAJbVqbepa+3vRcTER
xl1LTASUSefqR6EcAwF00gGOALRpgtLFwgX0Uu+XKrYANNkvu7y5HOqkvI6NYRXndGVMbLk9X76R
iWlCzUTyjNyfeFFuwJqypLkRpgfozUMi1poj5KJLAjPBulwUN8ojwOkPz22uB2yNyZhBbMM94Eck
V/iwFNoJYelrzaIFQ+P6+tkup5MJNZGg2tYVUXlD15o02YaDsBoWtt3Nc1RSTcWYeV6s0/X3QhMP
CxD28rTuSQKZu1aYLWoDWjgAYjAAcuZyvcxsbJJri1gVRa3BvYpMLqnbAh1DmaqiUl7FbdEtw9pQ
a/ZouU8mPZan+hTZTTmj44TFD76fHJsOpmAFTZlMe0j9sphgtqzONISOAungf3UAgWP1YLoNxqNR
8SR6n5TuGOjCLodQA9nGM6JLS5hJWJp1KvkqESZqzjNQeGeSfxv3+l1q9wTq9O0VDRof6lBOUV4Y
j2FePVEyrMcaonBrxd89U2cqYNYmt0jhI4gYZSoF87CrtblutOe9qnkzPCsOdL+8syOj3scTLiY2
2r4banxKcx2A3rS6R3jgcJkJtmfmcG9Ig8qeyqHjncSedOqhIJulnndIrP2j3tPOSZgvILu0SY/M
NF2EWX7RatxNqYmvcx0pv5l5AsmeWDhtkN1i3rg4Ni4M/sVWuhtvLC4CF9W5LlUkXd2lhgFtcpCy
IxyYxmDGo4g+s6KZBFmfvg0lueRXBDH2mJd1fOJg9ZekJHjLyEeGbqancLcO+zR/Mml9TmPoZPI+
/Nfy4d9z5eVcofvyh3Mli1ebXMB0fuvnuQJH2sGJBunMGxH657mi7jF3bQ3qtEYuojCzeQMabCKQ
HUXYctH7h3zNkfN2rpBCAjwhziodf1ONk+8fnCuwpmjXfJBwWpYlPMUga6PfxFTrYztHtxOcFhp1
OLNrrzzHAj25xNzTus1iXT0cuii6Q5lu7dt1K5/QynXx+219mr/t+N1yuvrKl7MYGoqC7NDJ3Lkl
1SWkU3TsNilWcew7J63IJzBEUgHxuPx+i7hqRqaCzWZBJ1aiGdGrIznKtV8fKLkWQVWUWTtp584w
xMARLK/6H4nve4coVkZSMOpwRlsTy00AEho1w3dHLaa+kDa6iXUI68dGXSl1R2lEJkOZdf20FzkN
fSyfIWHKuJBHBBSZRTRBJgOtUsXY0dFqKEThKGr1MFzng9LpF3UKyjqOnqAf3/m958I/bjFkxJY7
o0LtwzRaqqPTgYZb6rmneLdyNBwGjVbu63l6YeDFNw/kWlrUpjcejl6jHfo+OVgxdvBY7lRL5DrO
jMRgHS12qs9bVXUPTIVzirtgdFgkOVqgrL0YSwKb8picrkYyxolkkCscwSXF/+M01GgUtQOjIzWI
XQOy/GZEjyhnVaXSW7O6fFn41SE08B8c9WRgkFgqREXhXMFIw/eKsSaOkA+MErqcxRKuBa6pHIS6
NBmk0sOPsV0kdeQKbma+ajMvPOlrfQ19HOaojMFOYtCy7mjmIVC6MjX8kC1Pm0R9v1Db+LvKnusc
605NhaIStFEo55lqf5e9yqIVg5Mz9vg98s2JVRhzF0Iu21pEAdLq3klV0Vyw0uQIB4W1YWTNfmV2
Vy2YFsgXGVORjPFLkmBd4jkHaZItWs04DnvnBMbawldQC42xp0xN1zznpNkfveAsGQOMDepk39GJ
ox2N4cTgap9H0jU1HsLhXsf/FTuzsXF/JGp5r3WwBRzffuitbJEZwzVhg4L+io9Lllc45KXqkJwW
EdiKcGJpHnS0+FME3ZBocOo5xiEB/oqVBNGxQiphM2kGrnC542ozSyn7Y89Ug+W/m/HLZsze9YfN
mCTPdbmht85vvduMdUVXBGvBUNjuQFV/bsYK6c5Q4klwho+hikjSt82YSl6hfrcBZHExE9Duu82Y
HRhhJ8oTBSgZrPgfbMbEm37ejHUV5zXuC7IBh+sX1LdVuTYXkjOccd2o9mUpTueVLlcR1sCoSSgy
w96g32RIZIq6aX7Sdc0V1efCsCNUWiVYTuDLxnGf0vrBcZFQiko/1GHLTuNBq/ZVpXZO0QRmB31b
5BeqXlKQ6LV0hGmrsSDZ89YZ0YhJhvyQ4mUPXDleJAHcHLeDuCjlLXilB0vCjttpmrWi7WNF0yDr
qPdt1nwDTjdNE/Ui0nDMaBO0aglSTLn0jQPJ6smA1txqqaCzt9G4pMY0yKNLXbHXXVRcwabGvboD
55ZNaRnSzzn0nJgwy9rJz+TG/KGq6qVT8BSXlEz4vB39WMQAwj/e7ZwTGXwXKnw86b32Qo7G70mT
X3OVOAr86gciuUWYJ7zZsVOnSGmOdUM4ExA1Oub24+jEuKIMUTG11fZosLJsigyzmEpNjUUsftgO
GocIKwDE6BnrmjgtqThJ1fw2DIDMLS3HhsVPSvSNw/0YqKfcIPg/dFcC34spGLXCPq80myuF1AgZ
g8/rwSFqpwUaR1uBpJlnC3h7+xB+cIepjxoR0FiO69HGYMCw2qO0N8opvF0bdhP5GmmDqQnuysm0
tLscg0fISZ2q3+SYHTcSxW2h5/O2VxEeDGvXMucIVOqp6nqrYUiRNnjZzIqgi9b6CL1ArmNCC9Rz
txxMrIIKGZekHKxgXNlF5U4UYBXO18yclnoF39PEzJz+ThhmF42c4Ptpck7Z2BhBYDTipJxC/Fo0
iokXqHcDedeZ1El15JV1PGslGkA23Z6JXYHdBpFH7sqAe5IVp8TmJRX7qkdMaVA43/GPPCc0vEDQ
YB65nc2Fo6gIMjKCFXUBbKg2W1k9vb+ql4JZJbm4/dQEonZ1FM1zT0ddqzbwdRXM6nrd0+EKeFeW
azGnQM8P1CQh94qEgSZFEOb2owTYjoUxJdcRgYgXpuLfpZbmYouW2HNYcceJqR6Yto0OzHPO+hRP
nVhSgV18ZSnjTozSSSF0pEMfEcb9WdZLS9pxcHu66KEJm5sw0e7zoTsPdYAcxUvWbFLIqkjpRChx
isWdPA9tmBY4QLTHzlCda7n2GIpbQ5X7Bxp2Dl3onPZqehVgZThNjPEuLmoZ90zDIx81xK5PNCRr
17yrsgLtqR9jWBetwxEm2qC6i7HBZwCJpjmpdJH56QVXme9hH+0F8VzKo5u0y26wbYVv1eorvGR+
pGYDL7fOamJacc8jROKkyezvYSkdKV57CL1N5hpqzE0/P3QzA1lR1kDUwJgR14q7uhjwxciOszKJ
J51VdRPfs27rkXor8jTnoM0tZ1YluNZ1MFwmpKboZ2qUQdorRBLZv8fi87FocFT9/lgkJIgoheHz
uSh+7ee5yE2EY0wBCBANLhtg+ee5qO09s/zezsvXQxHAGRmDY1kKpDZNxCH+fSg6e/y7jFOxAv4p
y0Qo/oNDEXfdXw9F3eDwdYgW4r84unml9yQ9wJTeLIoqOU/RBOgnldrQ7RqagIMPSXGnOuACXCom
yHseMBP5MWajv+il9ArzM1azdT9gKz7PG++gJL6pyAMM+2xqvUa3TuVaYZcPEdxxFdGptR0i+LwB
AjT05Ame7qeS5EZCWlbD883OqqF+lER9ajjdo55L2dyn8Gsc6tDMDo56feSIdMITKS/OSzkzZpmv
jSiZIB3X0DEAZ0tUYBDRy6a8b/GIGZNoWMiqfS/1uGZ2tTIhh/zAsurTlAgjEq3pDBhFd9fZ0nVc
D/E0jJQrzahvPdqYCxzU7IWiaeaZh9nQHLS1RmEVlXNl8FZ0DDIa8y1bLXevIFDPMtFaptV/ha6k
mPh0nXtVPkxkY63XyUKjK13puM2JNnVJidHTty6dmp92DhK5vG0o17MelC8VnW463k5IfUyMDU1w
MIeHUq3OyjG4MWiSR1wsZ5hO0zc3zHPSKXFTo6We+AHmWjX2gaPUePtkT11VgXYK2/50fO7Iy2gi
BtGlNwo7WYYKrjeG6OHT/jqXDNxWOY+8iSFB3QKBOwp9WAehQAEKDzP4opHnNgCBWeH10xUlMFR9
aGdAYrKTnOWD7gBsFfayzFN1AZ6xQNGAaZbI6c2H2F5Ell/OQoFRmK3bzw2BWygx37UGFY/77rsL
tBEDcZhyg9FGin5XcopFCbjbqyqtRoARlZvbpBdYid6N7KTAJ8QOltNSldwFhak77QiZwBT81Beo
S19jNEjAI9q+cxLgl14IPmOqIXzqDJ69fuAoUJWj0byucXeTE+87bKw1vQaJbqoK6iPwn1YgQWRW
3uISCFCpshlb+Y0kUKO46q4lgSPxqzDUBLakCZBJUkmWUE1cMJXsKamQ7QdZfqIPzlmko5Gsh56L
MOhVQwTDvBeAltXhgi2FpQ35LCCRAtyrqzFnjbSyX9UuoYaQxkgqEkCZFoU3TTSz4uAahhvcWgGp
sdZmGOA0U7u26kVacQ81OiyDekV1pxrRDkPegTPCzU/CQJuNIHfQ2Pz5kBbQ9UH1gpSSlt41LrjP
kB/YnwsGGPX4ADHXrnTtUBqeIpkGswRumFnVHKPQcOb71twmlYMq/kkWaGNu6U/lKN85wJBQf0/z
YbhSBT6Jy4E/N3Hxo92HZ2RTrWJ9TCbBsMSoG7K4I9xGBd7Zo8C1yVAq7eFJrcofntQcdVl9EQOV
4vkX7QdpPRsBUTWHxDFF4KqGQFjDJpJpn4O6lnX9lEtJQq+9E7xOaxUU5Q9LYLUVbpoTVeC3fWcT
I9kImNWQbHxM9Vt23WJiDmU1aYGAa2hBOE2owYwN+agSOLFXNagLxvYQg8F2qgImm36/Ir2b/FeB
M9dFFVMegT1XenFgJjhD+MEouOVXtVEQVi38q3rYa4iOyYNIjZJFl7EkbPMkLgMQ9t49zWKNZK7G
7aeW5F25rn6W5c6V4+oHWj/YUxMUX1x1cYyFm+cpxT4udvEtskuCazv8T4jFhTsiFrYR3uCEz6W8
7bBsdjpU66p/36dYXDV6sE8s6CEb+uWgZ3AmEPujW20ucr1V6ZEYsxZK1AI3SG/aVpo+MUxsoOz0
EK2QPo2KGGF+exEYOh0PEG83oIK3slKZp17M77btlWGG9sGYNvfk2IHlklA64RLmkyJaoGIapSdH
h5lT+2WwwHbrgtDRe1NjbRexZVN/42CJDQk2jiSYQlR3yD7PilsM6gW6DICcDPipair8OR8x3yxj
zzbyVN4P6Qrtx0JA4gQ3NBJwcHXT/YEW3IRkFlEKUUV3GqqJusemBFM3xhRLzyVsIop9HbYn4mgW
jUFLSG+v/SG66DgTp3VIWygwQE0Ny8D4Fr3XpLHpGDehQFKFmVoujWizMbUaJNxoUO9jMSwTPypF
5rVRw2xKh0cjM86J9ln3GNRTLIZIZ2jgdKXE1GvSY8j0BblG4wnnP4b2VnqAGHJZx3kJjVJt0DBg
7oZ9R7ysxuJaU1n4cardSIN+Vgf1Y1fE+44bXnPYy0f4LyPFsJ1lBQ/fCopv5GkcaBLFIpEcPeJ9
bG8H/ORc2JtC14idNTZzHb4kM9WyHoI+w24TOeK0EP5YQ2ZfKm5SzA3DR8iLzGOe58QFtHHjLuVy
WJkSk6H2W3U/iuxvfQpByHalw8DzViWWSR6yM0xHclT4JJSnVn6eRVD08Rjz5igOH3JSZ/aRqd/p
MmrrsDDPuZp+z3QTn7S4Pxg97SmUO4s9lsQRVS3pg/apv29aqK9qk5u8nA1Mv5CLghIMzgTx2J1Z
tackTgZzzHe4C0js2v7AFQ4VUAfdJlzJqXqCZtqf1oEbTos2PwqEpxji7MUwIqRvNFF5y9FB6NX9
NLCRl8gCxShUN51mwo0MduCj72FrXdheuU/co4x3ZtvOMLYmxhHSxCCZN4mNc5vnkVyQFNI3v+yu
ocrBMw2cadbFwEsoLr2G64/H9WKm6v5VbWIn4Mb1svGaaprIzjVslXMvJmqJiL9unuQSMn8g/anW
1vu9J8W4oqZLicpJBDjI+ChX97mXgMdwnjNaHCHY0JhyNxXkpg4ATMrNJ1OWvknwZWdWIkjLTvRk
CboxfPiHdiiPHE7yyWAZD1VrLQhsILPJUw7dVEvJZmn1aW9GN16SIEXvS3VqN+Y0lBLEWPey7R1T
GOjwOqRsojThYS4sN/ImDE/VgMQVZKEwN6I7j4wI3B3Cb0oJQQAzqksrcUzCbrKl7nQ3PTUXrh4j
LO48S+dFrXnTwaCLmEQFfw5x3Rj4oTDNMv3Ihuhr2wPYpFXQGei6J7ry0Fs6SNGw/fbltrnNW5au
XyoXsZdymR60E80MsBA1MN5uovwKUo2Bkw+yoszv2afL9KTXS1Ttpn6o2PVDmMBcJuHnpui5AiaN
fD3GwWE/xN+AZJNZh/Ats+T7VlDR7A4fbqfGkoP8gOO8KvdTubcn8oALg4Mwilkbrh3hh9Ga8KL7
dD0m5eHopEhBy3Gpqukt1qyzGru8vAUUrajyrIitD5NcPEKczkIDGvAmG2sh9+WT6VPSWVlP9gY1
X4tCMojD28ZKl64LtyZKVwC492HdnOl6cZgEtTLzkn4fpwpOSo17bGFd9r4y7w36t26RXfWVcwD8
CCGFa6McntdkZKEDgK+igbu58RyriGPsrJYErE9jQ27R8YcKTqiepUYXcTqatwOeHvZpIZHXdhEb
NYqyQYQNGrn0ryjnxWDPgAX8hztoQzjyesMVlN96u4IqFsF8BO+h2+e6Z2jcAt+uoCj+DbjLNqxg
3NjfW51q5h4FkbhsGvIbI/oNJzP2BKSGZyqmQMRW6Mo/uYV+bs3ywlipyrwHGsjcRn9pzSKVlwsg
huZ0xG4fv+zmRznAbowiTCblFll3GQsiKUFWmXsS0JSbGUpXTcu0PU+qbGmh6KGGQ/fltAW9quAI
0tHJYAFvZZjEyXL02FIkYknRcqxIWF25nXqSjZSyrmx606QSUiD5psOgUq30WzyryU/2HX3fFTYc
jjTux7okIRH3QdyxB7E8CaeNPPxu2OmPfMiuW5+rVVbTNnRN83tZENeAlqh2pBs3RaiOwg5LsJM2
8o/hB/yoMpuy17HOS814iMmPmSf8YWhMAnMBoH/YKNldMsgDsTMaxO2aK2MRd+gdu+tBzcu5V3f7
uo5vmBpq3VTvghgyhv1Y+FiY2LF5XNXxt44r7tQmu82I7MsscB5pAJ1DUCAYHco4BqdhPXc7/E7z
FlwtfaC5d+cW6lmVpQ+0M3ALi0pv3uBUf1ARM+HlJNaTwqGH3o9YRVGcx3Y+60wSOLo8e+gUB74Y
mWXJgClcrmrjbCAobD8o2nKKA9ZxXYG46e4xteFsDPKSWqLbl8uONrRzIITGRJQ9BXq4tpLym4Y2
H9+d28Qb8UWxeJN8SI5cwv3oiHLE4LuYqH1hXphtdeI7/VMcOni+A3ZlsitPmzKsJrii3OiecanX
xDraQfRN99SnRjXb5RCIXzeo48n9uU0khPaZT6/eMKk9kE27TR0ugP/vMCmM6FU0qE0MmW4qvU1Y
OcZEBr3DvntftogEQOq2KGo/43qKjLrJ+dTIce2mqmHSBIFGXaBmN4mUXLgVpQXV0yFtCW9Whpgn
Gd14acXGokuN/YajbKqPhFB4EWYtct2jjRmrcBY3zDjD6qSpPTKJh4rPMFFzb96V4xUWELxqanPi
tvuu3FyNtnYYdDDbLTWGe1m43syLQ3TaTfRQZ/2tTUOLLnR+LytZSRy4Oy072v6dHBwAoSEzk/wD
OZXCmWThgifL2cIc5IUiB80UGwnnoPa7YaK19joJi2Nuru0EFmE+p5WxNL1hIF8FhRuHynVWGDgR
El/MbEwmXELuK2GuLZeKOdFHoozpPKlHekq0QQ9e7y1j1fG1WRR1N6odle28lCo/+M4wuPWZWluY
/ZmBoe2bbiKn3yzuN9lMr3MiWJwyrvwp9wLrnKZUAB5ZoCTWit67C5p8XsVMoYnu6+5pXlU0SEwu
yXBOZMPDR9nxrvxCFqYKRn+By8UhKdGBNu8t4E6K+3ic9TYJjsvGkrFIKALkv1NoBXFC719Duh0T
NW32xQIYQr2NOlkOTuI0b9hnYh+Zm2k9yB6BitOIWyVcHJReDq5VkW4UuOqrlvdNrq24ulPd1uOE
1kYVnb+cmO6PyAgIcpBJWpQmsdMTlfBvy/alZftHWsldc7/acFh+JJXgcaOzcDneBFr592GJsJV8
JOJwoSv+ol51+I4DhdDC1YPm7ftoORuPPxvyI98SiXUIW/9Byxa/nV9bthBTLM5cjmbHwL/8F1JJ
XOMYRnazfFaDKSLPMBYmkOCRKjW46ttKDjMCEBJBI3BG5Fb7GXrLaQ1WWWYGEgkBXwa6YxyXAtLU
n8HNzly0oJ2x3ecn5ShN81bW6eM+KBh7ztSkg8aBOdtodkvHtfcDK5dnmE4umgonzNQZkqnV6ddd
Wh7ogZ9+KzwP37Y8fyCTjADy/LpUdIGnIUAwveIhHpxollXcFIuuO+jzvqcXkPnphazRbw11epEa
kJTZOfO6k91p0kku4rqywQuG8AS3XlmN9+AmNoYMAwI8b8iLJcqGBIKddEmQdnzuIGwkQdyH76dx
ariDZc1cbPSmnkRVnroDCVE6uKCjPVaBSdRAcWrXARW4H90Gqvatzpx8JoXqOo+Mfu6O3nXJrhbA
KWlQaBB/rhy4hfNIYZHCCvMPIgcJkoyTNQYVSeodhaPzTUFwiuuIaEer8rfcCtXJyIdQ+0CFscvd
Ua2N1dBUPXZ51a3dYXBS5cIjj4Oj0+VzO9aVme8GF4HDHVlKOkSWw4A5BLZZTzLMMxkGmj0GR62g
pGlhddmY0N56inBMxbiQWTDYQpNgKZy5ZhbtMmEb2yBQclSL5i3BfhFqVoJcg7Syzxw1HxYxlr0T
UjuWeNY6pHmXa7UAiXZGy7uQRHNtDIwHB3bIaTGoTzGUDRNqLFwV8sedU8IqvClUciDtCCuY2iCu
KGUzPPRwQwTAZfOP7bOOFv3UNPEV9waao5FOcolCzVOqp5hw442qjcQJBTrNmiZL0Y5Ji7Dnosmd
/4eZ+9+jKGqQqDtTEoRJJlNx/aiIL5zEZJTRNYQ5BQFTcbP7BGFpA9HrkK7nhWLnT0SLzRu/XzSY
1k7TyCyncl1qSzMulrmZHPa1Mdc97WxQojMqg37qCKtdOQtv5M69NhIiW+vIyaa+ZF2XtWfwttVj
N1crbH3o1BZFIvzT5MtkqA/lLlgUUXgZBN7cbOK7Ti7vIWllWPGg1BvoSdhl1MxKITnK5JRWD4Nr
6NJhG2v6wpTBUhpniLhrW8foix9sddRmVT3c5JqK8b+S7+cVJ19Wj8Vs6Ntl5I4ysgL5tIu7e1+A
5aaAzVMzKCiB81sNPoMDsm6CsIcCarfB3GsZS5tS9HMFHA8HJ4Nl1Bz1AqofBGifDsZjDYrfFXB6
E3D9wuWOHwioHwfPRQj2b8MBwKziWoEToEjVBe8PvTxsAQfWQCnoA7zhmTe23cyBWWALikEzypeV
o/0YBPkAo/0YZ2cICYRCSUuyaOgw0EhrYS3ojbT2YTHYgs6QJ3QEJ7ogObiC7jAK4kNCPkfpYlsY
ClJEAjsilGlj2/BKqNUq2FwZJIpE0CkGQawgt+UsRMTE24N04cIUgNHQX4RoELFFlB8QUob/35yz
r4Lh2apezZ9jCS+adTlcritqo+rtCBLfPc9omH/L/t9+6M8Peg1E/Dbk6//zX6tH3AqIT6/L4KEW
19NfwhKFsPbDRff5jT2/6z8+J17R2GweeQXNFhGLKqGIXFvFF68SZyQlvHxbwhB+j4PdUZkA78ul
P43Cn//Al+H888/88c3/OgjCJ2XLQRB2GVz06fDiwSK+fh0Ekk9kVTaVnR0ElaJny0Gw9qi1VAtt
yctMoOfxYSbQ+ICPZiE9ofnwMki84rs187tV8efPerv58H5NwNr9lZP3n6wH/sy/lwOeKgb+zYD7
vx0EkDcVooGyO4OwYWcQFi5bzgd7z7Qg/uuiufRhIlDU8w2LQpop8r8/BT799cLhaOu/3iL5Wrdh
HmsvnzMuSR8HQd0j2ALzAV5+B8fAeCaGbjcDyGfS0ZgJa9OXLzbaj2PA2cC3dZqaOzoI4i643SBw
QCKm49poiGnFF7fbD4PAtohoAQsmCyrQTs4E+eWNvdip/Ty4/1GV4OypogZgFF5mwqcqQaR82dh6
6C/7zv/yqfBpS0C7sv2GaLIhsiVqsGGevz4tB5odBlIuJBq7OhNeNuxtZoKNqbEQDwmK3Yd1QKFo
4RCCFvTl6NzNswGrmq9YDcQnaRwO+m8mgrzHN4m7w4RNfO3qUIhif8vdETCMspka4Te7I7WCQUFF
GtWuDoKy9RHBOSkan7quckX6uCb0PYokwEI8/Z6/dnVf2H5zRAgIEOkgHXz5S389JlV1j9aRDQ+A
7+zkMfl6dG2xOUJDtlDl2zS0Xwbh0z1SpeltkA5jvtxZd++YVLafCc4eFFs0oZwEz18bagWQcAWj
gl3tKMgvU3SLmSCoAMD8BtqCzTNBVI048xv264Dv3kwQ2tvtDgexHPALtVSxMYivT3conbJS17hD
7WrBJHb07QaB+4PqcFHkAHxZDp+qRi6S3KFkto0d3Rjll9vdNsvB3rNQchjq2774aWPkCBWMFuj3
z6O0q8XCa/9vu6Gg06ijcX/dHvlTP9YMXKV0h8pxZ3uN+vZlo4koB+0rTYqXnWFDtcAVA7mOs6tn
hLr9NYKdga4Bt4SXMfi0PXJGINMgDkYYLuxkyfT6xrZZDlwgUBcruLd/XgcorBRLe2Xz7d4JqXzF
OrDpTKgyfdaXr18GQRHwjGOigdvVqll52aq3mQIqez+msBSNm09IxdijZqaWou8gvnb1cDC2Lxac
PYAF/lLW/PMXM+zj4SAyLvH4osm0o1uC8vLGtpkPxp6GjwEthZePW3zeHwaBfVHcNWEa7Wrb+RMB
+T/BocRn/TcQZe5ppJXSef89EKXiDsf9YWdnwvYnJIMAMI393G9wWWaCyfeorXd1Jmjb7wlktj/r
lqkENp4RdFYw6KDt8Jorv4MH5fYXCB3TQxX/qbeZ8GvByEGp6hqtaWFGxdfOnhFbH5ei28iqQDD3
WjszuB+2R+aDuE6ietvVQXhtAW5zRnCBEEYAjMPzx/3pjACNoMkGoUHwSneydta37jtrulj4gK+w
FTbuDGJ7JJ1RZyq8fX8nh+L1M9pmPqDXEX6kBlTj569f9wcWBSoeMVa7WkgLjdGWrSYN0ZJMbtRr
3fRpUaBq0gTfmtz0HV0UryjRNjNBlNBMAbxAfrMzaDQd0XDDSd/RQRCeIlvOBBqr4I8abo2bl4No
LeADKZuvre7dqxleW8LbzARmu0ye1s8Gy6c9AX4L/gSUDC847q4el+rWVyo68brzrBZ8PQg+NVvk
PcykAXFfr2+7Nx+ExfSWiwL+IkITmtCvx+WnwkkWpntoKkW+2U4elK8X3m0WBQsfCTdbw2vhxNz6
WD1iL65A49F3tvOqb3+bsPfIizSBZX7H5KElhSOjTv24qzPhpYzZZiZotN0AImzzN9QNqgWSmujA
7+xlStu+AYu1sQW/D4PGl4Py054gdk7xHxpS4mtnz4iXim6b+WCL5HkxI147Tpt2BiFex/rs5WtH
l4a2/f7AbYK7hC6MT5+/NgyF6tCWcpzdJnhpX1FJKhSSyDFf4cpfh4JdQqXdwMzZ0emgb79TWnQZ
ZYAo83eMFs5MWbSfMBfczcLhtaLZZnt4PhItA6Tml4qBGUDkss0Uee3S7ugY6NtvkdwtNYx96Tdv
vlYJubNA93e3eBIhwVuW0QZ3S+znKJVfNkeOxI8VJKoAOhBQPnd2S2AT224QaMLC92fWa78D6oht
xkCGWMwXAGAHL1TbL4dnxRii+reF/6l4gtqEdznl066WTcbWt0pmArg0oe1vewLD+nE5MAi0YOFA
vxQTuzoUr5/RNkcEDRcQGHifr0jVrycF26NALLlc7uoF+xVM3W4Q8AV2dM6A326PSAcUEnVfdqH/
aGf4D37op0B56gfx47M0mcDNTQrm3/3Am07z8/ffCY+fRZYfflJIlV9e/EWZK/7/f39ULj+rRN99
9001+vxKr7//+id+fvEPL/b2d7394wFhaqvyASOCZ2n06xs9XSVom/8n5r8eV+8losIfTFx33/5t
s8z659nw56fjzbx+e9Dy8f/8l3i4uA+8/ds2D09Wj1n59qB3D2f3+HscPwvE/6N3PhHZFG/Pefds
btNbP3u6ilctH0n19qx3z2e+b/98fP+qTx8po85N5wsentbl6q9ptjEWW+hgt36J2Tr+6zQrN44/
lcLWz5/Hf82yksnz9qx348/xvPXz98t1tSlkSuAIWz98Ea/T9O057974VyzXgya5z+LH+vPjhQBo
67e+TPJ1Gazit0f9/e4FQW77x2Pl+/aYd4/+ihV7tC43jLnAAbZ+10dB6m3YCJSvWKvHq2jDHibU
FFu/7eNVVa03jclXLNDjrPrrf1JvHa83jcxXLNGT1SMb8Ns4vJstX7FET1YkOGx49lcsUfHsPNu0
uwt3i60/1pN1+pg9BJt2LwE7f8Hzy4f149uD/h53gWRu//CM9/72nHfP/oplepJtHJOvWKU8mhis
9bDhnX/FSj1d5Rsmurhybz3gp+t29bl2REf+FUv0rFyxBby9y3cf51cs0fN49bDeUDuKdszWw3Ie
N8mm4k7As1s//DKgdKyCxw0jI9gxWz//avVQciVI6w1nqcCSvuAF0r8mawxBN73AVyzVq5V4gTJd
lY8bNzLR8P+Sv2IWrL1Nf8RXrFrxR+yzAh6C6mHTa3zF8hWvcZitimbTaSUQoi8ZpeMmqP46uw+q
fNPf8RWLWfwdJ6t6ven5X7GeeX69+muyKu9Xm2oGQVL8ipHiNaa4bm/YrEXb6ateoWzGt4f9vacK
tdr2L+CvNt4J9S9Z1H8KhH9ua2zRSbgKqoi0peZtEN4NzJes5T+FDm/93ilMkk1z5kvWb70iHzte
NdWGofmSpfunCNBth+bb2l9tGhrR0N56tv85pW3rt/4n//3tH06DKNnUlxOt3a1H5jtPaDZtY4Kz
ufXT77J4wz4vrNy2f/TvXZz/POSb2rI/Xf8+N2vf3Pw2/drHXrT4iYd4vSr/+/8CAAD//w==</cx:binary>
              </cx:geoCache>
            </cx:geography>
          </cx:layoutPr>
          <cx:valueColors>
            <cx:minColor>
              <a:schemeClr val="accent2">
                <a:lumMod val="40000"/>
                <a:lumOff val="60000"/>
              </a:schemeClr>
            </cx:minColor>
            <cx:maxColor>
              <a:schemeClr val="accent2">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a:ln>
              <a:noFill/>
            </a:ln>
          </cx:spPr>
        </cx:plotSurface>
        <cx:series layoutId="regionMap" uniqueId="{66E3F32A-16C4-4C08-8D8F-637AA084C48A}">
          <cx:tx>
            <cx:txData>
              <cx:f>_xlchart.v5.6</cx:f>
              <cx:v>Sum of Amount</cx:v>
            </cx:txData>
          </cx:tx>
          <cx:dataId val="0"/>
          <cx:layoutPr>
            <cx:geography cultureLanguage="en-US" cultureRegion="IN" attribution="Powered by Bing">
              <cx:geoCache provider="{E9337A44-BEBE-4D9F-B70C-5C5E7DAFC167}">
                <cx:binary>3H1rb9u4tvZfKfr5VUa8SCQ39mxgJNmOkzhJm16m80Vwk1Sk7hKp668/y0nbHTtOjwLUwHvsmcGg
lRe9xIdcXHf++7b/1216v67f9Fma63/d9n++lcaU//rjD30r77O1PsnUbV3o4ps5uS2yP4pv39Tt
/R939bpTefQHthH941aua3Pfv/3Pv2G06L64KG7XRhX5u+a+Ht7f6yY1+hfP9j56s77LVB4obWp1
a9Cfb/11qr4Vda7Wb7ef4T/f3qxzs37j1834xi+a3Axv39znRpnhw1De//l2ayj89s0fu7/4jLs3
KbyAae6AmLgnglFEbeSKhw9/+yYt8uj7YwthfGJjzm1buD9+9nKdAeXruHrgaX13V99rDS/48P+9
Y2y9DczLX5Pm43YzLxs0IgDmz7cfc2Xu797cmLW512/fKF08TFw9+MXmpT/ePMzSH9t4/uffO38B
87bzN08g353k/+3RNqr/C+J/pTDFd4D5b4ebnXCbcsxd8gg3ew43ZpgyFxbS4yJ7RPsVHO2HeneA
CTjvkhwZyF+KtDgAwvzEZYwKaju70KITeMAQctE2tlMZ2Q/sFvUEVLe+f2SQXtXrPLo/AKjkhAlE
OXfpfimNYF87BGS0vYPtdI72o7tDPwHfHYojQzi4T99cFqAP/H6QKexPhzKGEX9BNtMTbFMCsnlH
OL+Kqf04Px9iAtTPiY4M7dW6VmWhD3MQU04xczi2Hz6wb7f0LiROhEsZx8x+XA3bMvs1nO1H/NkI
EwB/RnNkeJ/f1/nv39jEOSGMwIFM3RextmHTI4JBHXuqdU3lZz/CW9QT0N36/pEh+1daqvwAQpuA
uiWI4yLnpZNZgNbFmOMwuo3tdI72o7tDPwHfHYpjQzhb3xX1AXYvPyFgD4ERDABuiWhsA7QYC9C7
fojwp5v3r8kMvQDwNv0UgLcpjgzgVXFX3P5+fEHtosIWjvjhAQE/xy7MDsWwvxHZ3sGTGdqP7zb5
BHi3CY4MXb8AB85G0dIbX9dv93vwk80JKwhh+w0ocHMhQrnDEDjAnu7i1/K1H+u9o0yAfC/dkSEP
jsQ3czCcb5W+LX5M/u9wbbITBn5Lxvl3e0rsbmx8QsHD63ACT55ivsXRlMW4H/T9w0xAfT/hkcG+
us9Bnqv8ED4wcYI26hhjaL/CjQlY0swlROwo3K9iaj/qz4eYgPhzoiND22vMIXwmRJw4CD/YVi/I
dXTigN2FEN5xjE1maD/K2+QTEN4mODJ0IXq1bu/rtZ4iLF8ZoOInSLgYYcYe9zL4vnbVM5fbAhbB
ToDqVUztR/n5EBOQfk50ZGhDWC1XOl03h4CbnbjUZmBRkxfgRie2jSkocjuK2uu42o/3njEmAL6H
6sgQXxUHOab5CQa/CHd/6Ge7wUjwgWKIPQtwgW4raFP52Y/yFvUEfLe+f2TI+kXaHMS/DdBthDI4
xl7Yx5BXYHPiCgpxyqfK93SO9qO7Qz8B3x2KI0N4dV/fQi6E/9tNanZCbFe4P7fvs8wR+4RyJBhi
9GEJ7Chg0/naj/MO/QScdyiODWeIVR0ieME2CUIOc+zvGSPPYMYnDkHcZWLnQN4EiyYx9AK+W+RT
4N0iODJ0Z+mboKjBw32AjcxPGBaug78DLJ75ScDPLTbpB85j/GpnI7+Ktf1YPx9iAt7PiY4M840b
6KxYV820bfRKuwr2NexqisEF9vAB5/a2XYVOsMAU/CiPJ/gO6q9kbj/u+waZgPw+siPDfg6JkgfR
ud0TRpDrOAg9Okx2Nzvo3Iw78A/a0cumc7Qf6x36CTDvUBwZwov0Pp90PL5yX4NHDNsOEvhZHAtC
HIIjsK130ocmc7If2G3yCbhuExwZrJfr8jDxKywgLxfcmC9Ia3yC+Sbpk++AO5Wf/dhuUU+Aduv7
R4bsaZN9LdI78/s1MAoKFncRpc/3LD2BdF1iQ8b2o7jetpVfw9J+gJ+NMAHkZzRHBvRGvfDuoYTg
EMq2C4m6eBOzcPafvxjSEWxsw2rYcWe/jqv9aO8ZYwLee6iODPFlVt7Xap3+/q1NMNhOmDuUvCC4
kXPigDrmIEgx2nx21OzXcLYf82cjTED8Gc2R4X2j7uuHZJPmN1dTgfLl2gSk9aPLy35mVNkn8NAG
n9l+o2oyX/ux3nmvCUjvUBwZzuC5N/f1/XCAfe1CmQ0U2hD7e1jyGdLoxHVc6pLdSqrX8LQf5Wcj
TMD5Gc2RIb3MhwOd1jYGewoKqn7oX1tOErSJTgvXhRyjbc1sKj/7Ed6inoDu1vePDNlzKMQ9RKDZ
PYF0ezCp6AuKGDhCXHgGFtdOjtBkhvZju00+AdxtgiND92KdHCIrX5xAoRSCuPFLWQT4RCAHuZzt
aNlT+dmP7Rb1BGi3vn90yGp9fwAHFxjLFKotuPjut96nY7nwmEJIalsmX6yncvQSulv0k/Ddojg2
hAv95i+od03vDyGf6YntYEz4D/m8G3eEo3eTBgQFzY8a2I7hdPE65l5AfM8gU2DfQ3Zk2K/Wd5Dv
dxC9GrL9wEUNAecf9vCWxgVFN7YLmfoU7eYETeZoP9Y7bzQB5h2KI0P48r5dH6QFBWQGuZhxYn9H
eI/lZCNIC6K7HUemc7Qf4R36CQjvUBwZwtfp+vb+MBVzkLO3SRh4rIt7fkJDDifbeMTwT6vqaQbY
dL7247xDPwHnHYqjw7mBTkcHkNVQok5cBokj32PJu/mbIKtBDYPSOrITS75Op3L0EsJb9JMQ3qI4
MoTfK8i+1+ruEKYUORHcdgj5Xru+cVBvHcjQeoRAbj6YyTsH8quY2o/z8yEmQP2c6MjQvlnf1tAf
Kj9IfIqfOAwq2imUVDx8nu3pTbns5h8outl8dtTu1/G2H/U9Y0yAfQ/V0eG+iUvW+bq+O0zZHASb
ISUbcfLda7KrmcFWx5BjAGf7tmH9GCB8DWMvAb/3BSeBv5fyCBdAoO6jQ3i6IU6JIB8QYpXP5Tty
CYdV8d1R+hz7yTy9DPv2EBMR3yY6QrAvGqXfXH1VujwE5A6kDGEXTC2okv4uyrdOdlDfXDj1oXZy
z35/JWsvI79voIn47yM9wlWwgi6Wh8CfQX0G9BsD7fyFox5yyjCHSmr67JDP30xm6mXkt4eYiPk2
0fGhDd0vvHX9dX0Q5xrdNDzYlGq8nPzrCk4ogrqsh88zWf869l7Efs8w0/DfQ3hsa0CuNbyl/7vr
tSBuAj2o4CQnLxVS4xM45m0OZ8IO7JM5egHvbfopQG9THBvCj/2c08PscTDHISgCgc/vGaO7+hwk
GEK2AgL/6o5TBrT4zbqbytYLWO8ZZArge8iODXWlEzUUzQF2NjQOJdDGBv9o6gzq2rYih09cqKh3
IHCys7NfwdMLeO+OMAXsXZpjQ7pI1wep3dnUy4NXfZN1tl9hh5pqKiC18Fnu8GSOXkB5m34KxtsU
x4bwppvNISIn0LiIYAzdTr4raHuEt7tZA89iYzeTOXoB4W36KQhvUxwbwtDxIjuAFgb9QikRLtTy
vJQ3+uCIcSmYZjuyejJHLyC8TT8F4W2KI0P4w71cHwJh0LMhl9+F5JUXjCxoNQjNiqC+Az1mMO0Y
19P52o/zDv0EnHcojg1n6EIAd6UcQO2Cqi1IIQWn6Xdj+VmoBJIMoSIPjOldiKez9ALGOwNMAXmH
5NhQbsBuOUT4E9KEib3Zqd9zGQDKLd1606NIbAwqZ0e3/jCZoxcw3qafAvE2xdEhDK2KsoP08IZW
CBwCW6BVvaBX2+AZwQhx/Azj6Ty9hPLOCJNw3qE5MqQ/QWi7OZD/c1N8ReyXugA/bGbIS3JtULyf
piS9gqX9OO8OMAHmXZIjQ/lL8/UQ+vWm9SuCckpoGvfwedYuEhqCQtY/B0/oNsRT+dmP7xb1BHC3
vv9/ANlfs7j1wpu7zf76Mbd7+ji/9oY6SDqADq4uxCz2S+dNoQ4Cewpw3xe0gHacP2/We9zS+3ja
j+pT2q13fHzFX0/KYW6de/lGup/X/AVrs549XBD45FK6Xz99eH2423CH9LsM3DNhP7tMLO/+fAul
zcQBJekJspuBtiTopkTtx6LYprmHeMefby0EldBw4Q2YxmD7goeLgjrd3X9/BC2qAH2oBgDRjWwB
pnEOlzBJuL8QgphwKRaGWkwC7Zw5hUe6aB4eOZuuCnDDDoUopoMcKMT88ZrXRTpERf5zTr7/+U3e
ZNeFyo2Gd3Ltt2/Kx+9t+AXnKWREkQ0PcIYQ4hDgr7xdv9+Up8HX/x+RaYmilpnLLHHlvChSFfRF
Rvn4bsDt2JaeEjIc3RmVrS3zWdIm3cxBBqNZQfCQdz4dFEnPK66q4SruoBe94/Gmc2rHQ71bNV7m
pJIsEMuzFHmUpkq/k1YYtziwQlHk/4y129Br1jSizgNmly097x2n072PrCrWazaaehw944ZM237f
163QHmplvYh1KVaysuUy6mvXq7qOfqyK0k+4Sr2qKRLHo0mcBajq2nNwYg9zzFV+ydKkeY/cpPtq
545TLttYRl9bWvfzVNvZhXKTYpbSIryMLYfOWyuWpy5FWeLxjgzvYM+GS90U3SrJWXeJ4tYEdVh+
KzqupddjXK+5UtpPDcWNL0MHL6UTmw+4qzIfZtC55WMqFq1Mu4vIRF5YjGqRWpS856OdznoSVV7a
2D0NONK95xhjLSGLcbis7TqeJ02s57REZelpnaHOI4h8BZjMaRXaY+yhUqBACIn/IWM5XstxjHMv
wQ3+mlDtnDeVjpZDEuu/iaNJANdk4uu8FFEw8qy5aprkFqY0X1bCRTdIKzv1Y2h3uaKdEp7DCnk5
ZEkURIOjLh2l9UKItJ7Fo+CXY6Wc06zKY18MWe1LEg231O3TC6cL9acmK5q5FnHua0vhFSEoHT1X
6mQ+iLCEhVK571BSWHNVOfqaKFIGprGLc+go0Z5rnZyFQzbOBm7xeeUM/beOyvSUl1l01heKAm8x
s1YqdO2zDFr8wrWZQ5p6xjTuRTXwfFFGDVrQDlZR79Sm90YswrO0ttxPjbA+F7bEF9ji5RWwH86t
JKMrXWA6N3VtXw2j7M9S3sXLSOXtrLBMvKK6HN7LmndBq7tqNqimn0XtGM51pXUUPL2mc2vP3hbl
UKtIfr959ecf//OhyODfh3s7//uXm4tb//unxX2xudNS735pI1l/fuu/d39uJNnPi0B35OPj7a8/
pMprHr4sWZ8KSQcyM34lVJ+eT49n24OoeqD6KVYhq29TRWXDtXEONPaCAX+IVQz5AJsqDOi4zOF8
3aR5fBerFCIJaNOZ194cqnAjHejDP8Tqpt8jDAh3K3CIJcO1Va8Sq/AbW1LVgR2CoRAT5LdNoBsd
BCWfSlUzkqKsmqa/zDsiZm0XytIrSMwSP2Fd+861nOEs7ts8mdl2Yr6YgrYfYYf2ladFXn1+Mnv7
hPxGhj+V8cAN5DdCXTD0LIVrUjeOm6fc0HwoEyGb9hJXObqMkjEPvYYVrvT71hTCazvafGFtaSmv
zrip/CquExBNo2bUh6KI/E4YY1/BGLIJcJqij6NjcbQYXCe8R4OF+vmvOcZwvj3jGDoRQDkktPOD
PkGbU+vJqUQVk4DtYC5J70RR4PZj+rGFIBGZGzYUjtcOPYoDxULujcwdlDckNllkbT2goG4Lcyd7
rZGvrNIJNFx73Homk3brsdpJollUxPI6acRZpoXUcOjY4pOW1XmSdk4/U9pyV6qWbbb49Vs9hwHK
Q2xonAJ3HULy4cNLP3kpNlhRZ5WpvsxNKD4VEUcYDigMS6PMm/6662txU4Yo/fvXP7tZa0/Rh1JC
uP+FEehbDN1O8e4J79h9REsd5Zc5H9ElSmRzmevaVzyUn379S7B9nv2SgDY/DKpUwVThO+uszOkw
VrUsLnlp03XVFXW6CA0fsJeUcmZXTTr6xB544cfE6bL/bdHsqjLwlnjT14BC03xoL7X78xBgVDLK
M3XJqsRZZ3HjrJN0w4MzZnrm1kXhDTZAv+jSqsNelRTs3qRCLzsx0IveJbXtky4uEj8GbeUjqUtM
AsmH4b602jKwrTFjviMKWp86xB0b79ezt2lFuDN9YMKB2IA0JbirGJozbC96220cUEhCa4WaMFur
2ujIQ1ZicuqRYcijs06q5GvERXnRj5WcuwXtlY9Ry74ZNo6FP8iI+bSI23tVE3bXOqVkZ79mkjrP
QCaUwCLaeIchic5hYHA+3ZpuzZVdS0NWMa3KUPDACDkuetMTMTdt0/h1X9nv2mxwGk9Kyfwa5QuN
63KR0hL7SVpl78vUyXqPpV30uYuzYjloY7zSqcqPrk54EFZ56DdFHCtPGRJ3Xhjr/LIrLX1VWSOZ
RRESsWeNYZ75uJXZqeOa9D2Oo+toyEkP+hOrLk1YfTA4s0jgthgmUg0YZANtQAuwOx5fpNLhX0K7
oWfS5ehijPpW+J0taQadtQe1tHg9ZF438DFAnWMFY9zflroyN41tMel1mWHzUFfNkoYYf6gk6pJF
yCykvFEm4VdQuuvWU3ll/dNkLAvKUuNlUuTlElUivVNt6cK+J1lyo0TYM6+taHRWh3XjDzAPC0Sx
uKq6rJ/Rrq7mCPWonaVw0VPkt13EK7/FMpxlmtRBU4orGVqRHSBUmFM4anDn53bsetyw9O8+s+U5
rkV54xDjLBoRW3iu3Wxcc7eoZ9ru43HeJjyaW31vr7FOu286KkvHH7GxGy+PcBvNexMXsDm6bjZE
bcPndRHKIDUkO83hqx4cQHUBE521zIt1HFs+CzvmscLpR4+aNPSJsfJsUbvJLKLNYL/rCKJwk3xt
p14MK8nMiemEXvSE9RduMo5p+K7pKpNl3qDSIa/vZCgxHr/ozupZJj1RgygvbvGQxYbUcE9J05T2
pUlMlvRnQlXjohWNCZdZrVTpxTgtbmxmkWU8ENL4DWAQekNlC9AGZcZ5kIchnIcmTUChA9sgsv06
NSi8AvvCZcVpMrBOBkOfCnPhakNgRXVhgXTnN3AWzl1LxuFVC1vHjfyKlxwWHEl0Ns9TVQsvreDw
Cmd9q1wfrB4kHG8I7ZzCvWFhlvlSNF0471KWZjMdglYwd/IoG30+OiAxc5zQxs9kbaVeq4dIX2tl
ZdmsiBT/ZjUtU3ZgF9gsFOUNv3SsMArPcsIMc2I/73U1DqcakmhqOSsjybJZqNuxmota52o+pG42
nNpgTJS+g4dU+ax3hnRRq0pZPsCKP1tlNqIASqmSLID/bOsqjW1Lw5Tn+ec4y0S2JLUw6SyRxn0/
NoaQeWwVGJ3LTmqWe0xiaRZh3Zb5DRzG5CyORpzMmxI4mBUmjcYZR/0ofB4PZbfK+ABL24KtUgch
Qs1ZTRwnDaKQRE3A8hbgVEyDfpKPMRnv0wQi0wEHBrKADJmslshW9DRSLHF9nCQVCVShwmBsQjAI
ra4uxXUcdjH1iari0cvKeLTO7TClc1SGkQPsClbO0CDHYikV6qJZIqjsvM33PCSUyGH5RKTy+05Z
YJj2yvqnBj/BYHkK9hG+RGOuRuXxllrkw5B2uLl0SzEUQS4qs3KaHI6kSLMECEQG9v88VBLlX0aU
5vKsGrK0n+vOGdU5MpH5QGPsrJ0+zEKPI1i88ybvGZlpd1TAfIPAwE1JlWifd+FMIVV9SbsONIs4
itsb7bjd17KW5LRlXRTOeOLY2Mt5COM4aRH387xu0eXYl4S+08ZBH5Cx4Buda2nuGzSwftbiLFan
NZi23TJnkcZXymLiU25Xm8UZx5VesFRLfd0P1HDfrjrARnY5MFZoELrncIKJT+AEgdUNJmtSg2Ur
+mJptAjxdVw3SfIe81zQZU/jrlmZ3myUTzn0105iuf2s6DL46aIYxxYM7MyMCzthm5ffsN6BfAK+
ygxdUieHt2gqB6ZKJkUy+iJpYeuUaZSod3nNYMvXDWgFETwDmYpNLq8qRIc690gpbYC7q/tmlVmy
1J6ym6qf99Api8yGtgJjHv6sKx/eCARIL9BGTzZ59imEFuRnvFWKe1w6CayLIXLXXU6Ajb6Oh/fE
9LY+j0DNjc+LMk/iGw6nxULnNrqsRFR9gdaJbuVJKhU+K3gkmvNQFlEbDDWrOlBwB7IoMUyrb7Nq
uE3SxLnuG20Xp5U9tMnnzs0ifZqFVvZtGMVGhqgqlQHYAZzMFB6knpduJj5bdpjNs64EDwOjG7u1
7uR7VRh9LrIkdgIH1zgCsQfXeXutxOJTHVttNEtxDttktEIiljQvUHWfgUAezqApL+yNbiOxZ7Fj
wYz24ImYwSHTVeeobrDrhyI1LZy0pLVB9a7if2rRig/WAGr62ShMje6MzgftZQixdqk6DEP1GZKj
T7vIjZYlwNL5ViLc+Vi0rVn1A0tv4lZXHmf6lGZ965yOnQvgJDbS46JMk6JY5W5PLyxj02Imqzxr
z6OhK6XPHZ3JD6CJ6Dtb5CBGQHTq1kuk7rQnupZXcAoM1U0aVUj9jYqR8NYbQQMbPpaGWAIG02E9
k8xKojMrLLuvMrKt1k+ZdpOlEjZ612srHBc1+FnUTI0NLFKFTUyu+yQdncvMLcEvUZWt7a4okrT3
B9Bu9KyTJaDW8VxFXj2yDGSH1ukM9aSvgzbFvF6MvILVn9A+YsEQDrb2w1K71efOGdCHWNaw1uCk
E59grWf6Ohc5AgGLSxHPeSbdzuubLxjcchx5SdKyjw7Oqy7onMjQFQ1T3r6vQi1qONxhRc9KRQBN
MByG/kIRkxQXrC4luca9nbrLsC8EvFffW9Eqqa2yCzIdgswAbawxqzQNgf9aJNFcS57IoOttezlU
FPb94LpMeTSUbPWglX73Cl8/WjOPfs2nvoynro0pPpKVuq0LXXwzu06SrYH+P/ek7PFRO2AJ/fHU
X7Plo35MhHnqgHn0bG+ofrhTIH0a3BSbiAQBn8WDY+SnO4VAaxK4KHjjGsFw4fd/vdSbnkUO3GTE
KQfDRcB9Gf91p0C/dXB5byxncDuA2sNf406BtqE7ptEmVALtZeG3oJQPVglMwlOjI08h/JkCG1et
kIkOYkI+Ro59Gue5ddak0QwZOvqO1Q5e2DbLvhuQV2TYnaFWnBkHFIESfI7zKB4+cKuoFk2cpV6O
wE1cuNksbsrbCPcIeaNp+nDhukVjBcRqPmk+0vegYXYLt3bDC0kHdxn3LHArTPyStfUKrNHGcyIs
5z1DX02ov9lhY07LLr+scYyU7xY6mam+eT+g/h1rY/ddVWapHyUdD+w0b7yau5mXirz2okaU3iBK
4WXAFe+TeRw11imKWTiLM8XAr67uUI77JtBtqDyTx+2pq8PIi8ox9AyBYzMJc3QV4riAHQ9eHiNF
fsoQeN5L+PlRpblXMxvBr6jaGyHy4NUExJ4g3Spl4VVcyLM+x6emzioYHq8NqBbnbgQ+2sK04HYJ
4/eFo/3ELc5by6Ze7ZLYV1k1LEYJlk/d1DPeVNKvpRvObG59LEd9A6r6KRyvfOlU43XdJUMAFvBn
UrHboi4uKyjg9GokzxB3rh0TfojaPPa6DiRfIr7VJV3ajVg5IKMDDJ4ZH+WUgZwv/o679MzN1Zc+
NtofhPWtj7j0GyPmKm3/cXJxX+YMtEE4Vv04N9zLXZiWNiWlR2QkL5QCCyUBSf0PzotrPsSfEpuB
xZeBnyDNwRFkcdHNsiKHw0/rz26rv3C39wuKi1kSqcYbIiVBuag+FUQk88xOHa/nbhSASfWhAOjT
FLfEV61tZvmIWt9NrcIH6+e61Gnm2ayLZ/XY3NLS/N3K5C6LcjoPCborwySey16aszwEsWqB1yvK
WTt3exL6I7jw4edxv2hsW3l2SLPaU6hygpKSpdUIsYh4FvuEF7ARCv5tiN2AJvorKTuwmsAqm6FY
J0Hj6m9dXrrA7ZD5sPdLH1STdK5GBp75UMB5LYRfKdgjIPDB8ijkCOp45ROw+sAsbhdR6wpwj/RX
pA1PsZNfyz6/chO+tCwFZ88yy4KwWwkYU1NzU1ad8d2BXSeZ+5mJ7CrJq9TrSDwEYdwvEoRAc1Rw
fYT5m6XSDore1F4Rl2Kmmaj9QhjhmTifF0m5wrhZaCv7qKNmmVTRhcnK7BRh7YOyc43T9pQ2XeKx
TsBq7/urLMXjGaifX6SGuIVb5p5rd2wZV+wCi+xSGXBNWMTAoTtgv0gSCE24RgWRRNy3IqSWTawu
cKMuUFZ+SSFYAZEg3XguCj9S5nxuan2Fs4QuQOcUQR8j13ckdYIauvR64JFJPKsxi4hmOZjJY+9b
Q/a+c8PPYwj8VWWjvVERED1AF4Hu70UmDco4WYZjfV+BRjvDY1p6lcCndlSMvhzcxBMwrX5r5Gcc
knemI5FHVDPM2ljTIGlr9zSp7G+QTnBOlbpQ4IXx+jQjsKyrwM7Ul9ElH0KIqfh1WDDQYlPLS2L0
3uHiCwrjzItI/g5bfeehkX9zRbMwozV4FdgNM6zbd7VsFmGOP7RSr+zWijxW8jPwmFZeyLJ3aZUH
PVPWmezSj8oxeWCb/swd+KyN0gHsJez4cZWmvpt3CUTa+iIYbbka887ynLDoA6tOv0Vj+KEqI+IN
CCfwcrJc9DK+q0vnKipQ7tm8GwMK99j7Ofi+z7vIGk8NL+esY5E3VhC9JKSbWa2BcKCIbnqiZg22
TiHadC5E1kIMrT6DsIKEU0CCxV5lw4J0buOnbuHMw2z4O6vtuYnsdaV7teixbMC+ai/dJvuInfZi
hGCYl2M1oy2d13E0awt+rsr6NNahOR1hEfnd6CrPofZiYOh2ROXKiUBm94LM3FjOKlTfm1iBsVOt
xz6aMQW7Uw+NDw2GvhQ8D8KEJ14PJl2Y2KfMgDSNzJy2sAhskEcETgqmUh44SZ6CwcE+lI1ajdS5
TwwISkXcYtamDOz+offMqFaIdLXXa3FVizFaYNp9SmHdejylMWyUWoI/yfJgo72rnbb1XDYWC3uI
1nB21rNCycaz5FDMIILsXnEIwy0saKCzqHX9t0rQjZM3qV+M4iNi5kucSDCzQC542sDSSFmJQIKg
+Yj5VxLyflGLeg78fa3jqgBTtLjT4Zh6IkZtkEsyXoKB5ARhWV3DmbfqKDwD5f3cCHCDmrb2SWkV
M5E1d6GblCBFqzsi86s4FqASW2HimzZcodJtPBoNci4K0QZRbyj4EJt0s8sqP+TOpWQ27LJS5Z6l
innRRKfgdpMzBnLSCsG7Z+U3QzHKhbLifxJW3jod84nMskUYJgvQIwCDsL1BTon8qq3Y2WixZWkk
HMU5TcAioMxXaBx810L6SowUgqbZt8ROCp9n3VXPwtTTVnRhE5X5wpTfuJVHMyiD+dIVFppZVebA
SO46kY7jlZH1NzjPw3c1z1cgzcFuXtFWLqSijuWnjeRL2ySiuizStJCuVys7irxYVe04g55klbw4
iLb9f0+P3iiwL+vRPzvwPFelN4Q/VGkE4UeyuYEKoozQiRWc/D80aWg0AjEt6KK+yfogwoaC1B/5
HtAWEvRl0L0RXB0JaRjg+v8RmCRQ3eyA4guXJ0BPqldq0uJZjAFiIxgaO0NIEBoSkk262FNFWuK8
ddqG4FVdVFXJLqzUGiTsPmrrzA4EjZMr0WCSBKDAocZTXTPO0TAg5g1GOVc8tdOrpqgsUJN6a+mA
x2XVJNYQdFjn51kospuB5N1V09PyYnMXxS24sLoznHXJDUVdfQ7RCfCfmZ7dhxi8dAXl4RzFNQhi
VpniHwnJUsKzWpEEdVd6VKSL5H/YO7PlunEsa79KvwA7CA4geFkczqhZsmTpBiHbMsEJ4ACAJJ7+
X8dZrnJmVXZERvw3HV15lWnnkY50yI291/rWZkCWwqEh+2ItJd+9sHYPwUxrk6dCooBspMNpkGZu
oGOxBk2QxX7T57VI2ru+N/wpaFLxYAavE49+A/tv3ncJGd3RDYKPl/6XhWsBPqUK8A2Nb02QWbjK
E+TehantHQYljryJsMXP1BREBXAY699QOjRlH0ND/OQ1Lu6z0bZJkq+QcqZsmSBFZrHdxrfWmPAY
2V6XDrhFAZwlmwaoJ3oYCyJjUfh2SuOzHcLpnTc1DbJebChsqQ/7xxst3fKtlmG438jcHDeBHHyh
MJY4MtvkENiYFCppvuqmE6eB8tBdx82ojwxEjn1wDSO7bYqlC3OBCxPqagrxxvvN2fz/PX//b6sI
l/Xo/1NF+FsH4uLb+x/rwW8v+1kPLo8+uTxOlEEsZ1H4a0FAZibETR/h2Az8kAS4WX8WBMDbqPZY
QRYhUwPIAX/1syCADcODNzBxgyvDxqrgrwFg/zpa4ymIWF0JtQ5iPlZLo5T9WhHYWo2pYcLcNmiE
T6xLo+tJrmcmuzGPzfRM0cePjW4PUiWd+xBqHr17s21wT1ydQ7jv7lOBnlq3272uopOae7Ubu7lG
87jBcW+Jt8dAFmXRIHZVa8URto6fVwOPMgx1lchTO8pdnwydedyq4TVFp5F5QOCyBNp6kw/BHJ3s
6rlTPMhV8HxjW42pvy22gHsH7U3fq1Q6mP0+x02iYDuSNj12prLPA0IO5wBI1zULJVy1+nEwoRhK
1m/+biCsLuzk+UViU1mo0IVF19VBFtAUQhy65zaZdDlWJI91oHfxOtygZbSZDVW6s51bM49riPVC
LodpmW/IPKe5luPrtFRXG1lK4W8YWoNrP6rOi9MCE8yAogqRMWsYyxczm1LiE84q7ukS36z6zhdF
3zbXWA7UaRQZ3EYYQWImh3QyD6INH1njS3McqPD0fU3keIBfmMtR0APYqFk+Uu2nUyYMT2wWJjza
h2SxDVrr+HvLzXK8xLn3RrZt4Xp5tzXzDY2Gk+zEzegHZ6a9nZqXk9dTlBmIeCOa7QbiSj18W2Tw
UOv09T/tBM732Cewzv+8nfhtz+4fa8dvr/pZOwAB+9gWHUeoDWmCJ2/8s5nAGiPsOgBUCqgD5wb9
pZlI/hukDy5sNBLsN5TpH7UDz0mk2KHA8ILLRjT0GT9lw9+JrNWH+vt//9cv8CiyfX+U5SD9JZdV
mUEMHwTC3O9rh+eTbQ40qW5x8O+SDWatnmOZddt0E+ruZWi9bFh1Wrh6OyWYN/eyr647ZQ5Yz/QR
eXbMlzQGLLjMOYrLGcIyz1zaXEvApgXxvHtZ10B3FIMi3nfPflq3Ga/TtIzq4SsxQ1NoZm60gSlO
7Cvt+u+kacsYknsGzO6Npl3hwS5/ngLjHyRvz1W/cFjTsS3wttXOmPpGwUzNKhK8mi6RxVhHGFzC
aC4Wj0awvfl3u8wfYRdTYIM+LRk0iRxS+6Nqxf1ayXfnL8/eBi0jpZXNVVy7svXiUwzGCyKLwG8A
BS2bE/WFxc1XkUw3Pai2bFrwI2IEa8t5IHdeFxZNV12rwZ0bVds9WiK/mOvgLm6aO/8CNUCJ0fnC
9IoZNWJ73LMoRPPylc8NaFNiahgZrNs5EW9F5zdP1m53tXEiC30NrCzskqulTx/nnhd9T+5nuUy7
pov6wkvdWXTpSej1PCjh53C6Z5j29liRockqlQwZZZXKlIHT7dUzK1Lhu08zaIZDqmJTGp00KOg6
PAE+a3Zpu36DFLudKiug6kgfkljfMAzYzIMFHV7RkRzHCNP6Zji/3zy0cWKEbrdVvp/BwEqzyoNT
Lo0U94p6ezV5e69OdqoZ3zZ/cPu5CqGZDqLftVVSY46LdomcRqAYdjtQyTG5j65MEplk8EO+glDp
c1BSmEa9qC87ua7F2vO3LlmOtJqG67odtgJfFNWa1bumlmvhw8qqOdGllXQ+BcH40PJEFElg16JZ
Y1yQJolv/DkKDxMghLwy7quZ/DAbZpNmxovANbQyzQ0UlkPdBLZwG7tO+igt2Eo/psGqckoJAEEt
AUfgUo6jZi0qW3e7odoY6Gf6iHn4zSbtRWKdcQ2xpDvoee3yuVoevY3PR7ikXwGdSbTjnGZtJSEq
G4vLOE3uABis2Rh10cHr49e0Cb5g/Nwn3qrLYJ2vvd4b8HtmYxYtsnBi/LKl0YYPPxmTQs4pvfc3
p6MTcdjSYTNcvHW5XpCYcPnoNvGyVrjngxYwV2eMn8Ep3m2hDu+SpX+FsDgXnNWY/GdtMpxLz2tF
of/xZSrhl0NAQ4evlN7ytlUvkCoXQFkwtWslMz5Bm4YqQ88TRutsZKLJtlg+OcVvJzpcmTWdC6Pk
91qPj0EojjJgZ8v8e6ebs8PMHrT9SXji2m8kdOutqbKoMxFIkOjBV9QWBF93N67kzMJ2yRMQAyqp
AlAfeONpdZiX6Ox7/ncKwGdut0tpikoFTeikvO09gCySjUTH2bjqJas3S0+10zv0USs3IMe0fpHV
aNVuFQNMCeFN6jHESf+s1nV5XXkwtNAfZzsdwprFb1Wr4pOe4dvddVVXsaMeveiNVzTg101ct/s+
bXVhUv4Cw5CW8Rrg0uBVV3JcL4dItbZcGtflC667Mh7WNcNV+Goic3BtH2SE04OgcAcSwC6Hpa4g
Qip+z5y7XaXRueudg8jZ33W0aj8ZhMjKfqhRntouKE3VfK+m5H6i8Jq9Jd5t2Ol36DZoj8mQPISp
/tZv9nmMldvhLt4zPj271Ihs9N1dGtVn025xPgz+O1lRxxUGw2bpH8hCulzDKzmMnVfjWuO3wDeD
fNMttNKqWcEcLaQ9ShVYFC75nigryjAwU55QyJlt8yVgC6rB+mVNgp0cMS45Fu95BHar6iykX699
8tcraVXRtwcGekS6fW3qvWfZbUXieme35jsNxcn1+shlGABGq0vSRyQjDJh3Z8cwS/rlsXcYDgVH
9Zv6vtrJcGDZtukeRFFdarW6Yov6PfxtkveLWtA6jg91E6dFNyVXFxFLzX6dI5oA7Z15wMSCm0iQ
vogrbxdP05yDrn2GnXKn+vHGo1zmyqcvDbNfm4WCVFy78zKssC1WfeaDe4lHlumhvt1iBfZN09PA
IVeZZtjBfz4OM3vzQ1bvQ19V0J4UyUxPriSI+jxGMy63roDd8pikbZiRIPqgFmLc4lBsQ6bPTQ8C
uAc3g/9x3U10OkWaVbmpRZvVU3JMaYL6HMJDti5rvfoRXu/7aJJjMOLP9HZllffchviofTaWk1Ea
5cbuelJ9NGl6iBd1VB7+lg/su7bNt2Em5z4Q/xlGfzNs/f/R5v1bB7Xy41/7ycurfuknoUyFFHYu
HlWAmfN3/aSfAKWP0Wxe2HgMvj9nUYaF6PgH67IvOtQP8/XnLMrwuCmIXNiwGqZYqAjW/i/0k1ju
9C/9ZBCAjw4BXOJ9kstD5n6dRVFrlqYJWXfrkfG1qlFfnem+kC0+dgT2SUNdPk+mTKC2+DbZubC6
SrfxZmE9gKGlH499PfaZqbx8Skywg0W881X4uNQ2KFmiTG6r7crXvMCtAYqM6OeaBQO6p+5KxCMc
FW86dO383tO1ygyJvkGkmvPB66u8itfzyuy31kBBZi0GO0z1Jd3gipJNQmg1XldMfbyihUBdTUwK
LX/zaa6V3HZSwZja4rgIqu5s1hi+RqU/h6BmCwAw33DPnwBUD8W44siq7NxmPbyPWAAylkl651Ly
YrmDqMvQAQvhLdDVER5qaFPnrhqgGfUVajw/hnAJtkTxbISxmQXL+uxEda0TeR5gfQj8TDgRcb72
QfCw1G1hq6ovWxlccxI88a3TmGtNn2GXNvru2YLKbT2G2FZ46MOthnQ+vLB48nIkkiq03bEd6+pR
B83w5o/L8+ai5azZfDuEGjIbWdAEjdPbWgHukTjKhoVCYosVWg7M+CaEvSk4uxZV8ByOc5iZerlF
203LtjWuCGJXlS4FV1VNKTpAZR5CT3yLO672YMxyAnLsrOi7Xt+B18HSoe/zFqo9DsB9Z2CTTgPM
3OeUCPkI3XJoP+rKfVtW8eDQE5eJGRQMYFgV7H0izQ3H9Q0hXfqHVQfqNph4ehv1fD4ho5RHKSb1
JaGwxrcm8wWKuojS7SZsHJCWWvXLHnTuyyKXIql7cR2u6gPEDuwaVaVQGSkT7jde/P+66AYAEfTH
n8/Nvz295F/r3OVVP+vc5XE6F0HNB9MCjfuy/fmnCA85DklHMLu4ZiF4/jo3X54xj4ceQqIPLlTf
Jfn5s85hDvdjhCgwVUMpgxr3F8pc+CNx8WsiI4asl/gxHiFBgdbgXfy+zHFTD2HM6+22lnfhlug8
4BsQLZ1+Wl2wZP4WjFkayCskBR/YFn3Zhg5AtedItogOpaOegdPp9DS36S3kAZWvHv0CMOa6M+mz
c+OncJHfjal2owfIvE6T127oB/jbNMjJAnwy6K/UEi655TbNWhfeLD6gjY6C6Bhp+0wr6nYh0Bi0
j2MeBDCrVBB/brvkudrcF48zmfM2PSyj+dTW+m5KoxvEScjeT9kj+OtPSq3VDbf6pBYkSDdvPhPW
AJqUaAZWhZ/ZFQ0L0dqbI6THHTZL8ayJ5U4K78UMNRyxOIuD9KYDle7AbxQyAQPD5UxKt5gC1tZu
ZHA/QVZmOJS+qbS+nVtCswop1Efn9UVteZiTYQYvsVLkA8M6R2FBbZVeU6Ze/Nq7Fi3/whPMI353
SlSdFuNC5sIDAbQmqing9xYdEhAF0iGXgcUhbGke6Tao0k3x82U4afOqnqLHNDEV8AQUNlTnlc6z
+0SWxTW5ZZDwihh6pyi7Bu7lDdjQhkKdqzr4CMpdXIP6ilFbtvO297sVNKOlJYoXintV7Vc/snni
4FPwmIA2GGzeJ9HH0MTXnT8juaXdm4takdEZF47g5hOg7Le6+5h4fMLsp+BAz8fNmPM6YUanjTyo
wPdK0QLaB3N5nfroI9stPAvhv2wRPfXD0OZ9vL2Dyxk/Rf38UPXRAyEWLuxyNOBO1qbhhzrmIaxT
fpCzANQyhufNtCRLvSE5bh5MZ9ezZ89OLKOjt1vSYO/XlmUY8DLGl6NL4zbz1YDjoJJFaj2dW6Qe
arg2sHTdnQz4LjTx7hIXzabJPLuue+ni4DtE2h5W7vjZZ+oKis6nLRGvVT/draKt81WzQyvd53mS
6BCUOPC1SXKIHKVc9alHLCQPGvfZAsyQZHzXW41eIjinTV2Qenil9aILHi4daFKJGO7UPZlo+iRm
zL+DiWa8tfbcYn4e4OdnOnkdAXQDeqLXE8YhJ6K9H2JO27wV5vmW98a8xax6QPZglxB5G0bx7TrA
3xqpC67Q42MypvLKtQjmhdWuld/aFt2L1U05L3yvahhOaRfB34kh5dC4YD7HnyymxfeePzuDjDSn
wXvPMTbEyBHmkCNOpKtgYNntiToNCkx1SRZOyZOU1ZmN/qtj4rpL1/sw8PbEbzEOjuk33vuHPmW4
jABMWdPjAuRPXePWkjfBR9xEA24o8oTL+HOia4GyoG50Te/nNPyWug0ZYG+5UxzQTT+TKOdVkGBo
knHWUZEihjKRLG7X7m5r04e2RV2BwzUeuRV+2UMn30maflm5RlxrvONAh3OexLyYF5/n/Tam5dTE
54HN0R2Q3L23KSHvuR2bx0GSr3zD9IZM4yen1FXoqi9EErgDZgMRnXqlboMboasmmwdw0FvHJPQp
bCYfEleaRMBnbIcu6/WYZgN0InQ+iUYt6qacR9OVI8kZWfdTbchRCP0wVaAj/CU8UhfdrMY7qx4/
Zd2OBcx/P4udFxUbAouN6AGMJNH/ySwwztV/xnr/PtqAKv3zIx+BKzP/i80W+z5e9Y8jH+tiU6jn
wFj/Dpz+88jH8kGsD4UXjyfW/zDM/jHapHjqJkLEWHSVxugKEjQKP498TD2X3gG5SXxRMLF/SSoP
fhCqfzjzYQhEBJbdZZkp+8NoA5KnQpiBR7etG5Lt6KjqkdwXoea3AOXDvr/2EMw6MJ50uWfE4xZV
UdbiyCokxOuLjlNnyC22pUl1VMwx7lh/aXFKreGUG6veyeYwqsf1OwjBtehDBFunmZ67vkJOgTd3
zQg6vOIoXv0cZZaBUGeb8w91SucCUw2HgN2iynu9LcUEBk1QfTbYDoBzon6xhN7XodxDYweMtxbS
QlAZMaBZv/cBj6l7Vy3PiqrjjEUDWd0phG/A/+QpmHmIB+49baZ7SiFCGYC5qGvBXeDr7tpETu0Q
S5EF2gyFRNj4PeTVu2kwRPVeUurtY1mDuACeU1ovrIqul9drEL0MssISBLYMh2hGDnAKF6BeA4He
rTCxOAZokNj1HLq6KYPJfRiQBkbZM0mXPYFYiadT7OdwLicE10DqWmS/cPJNNvzQKWKKC3dZ6meB
C6/k5g4OABAGS46jG/2a7esnZjoJu3A4YCVCuarmqUu9Qmt5P0z+WXioYX2NNEXc31t8pKaPkIBd
60nutUfYjtHhROL+C47PLkeO+cq3KfSqWuZRxyU9YXqf7snqD/ytmVDRyzlUlbz3nN6GfU/kllV+
63+GUZiqjNr2axCHUBwnKJKB+ZrOYpcEaQW/AH9dm+VjjMicN/MKttiuB72Jm0hyVnrLuu1GLb7D
7ZgwXW6v2BfypN16Tyx5QwL25Cv3WtsmzWk8h2VSRd/qYD0tfrW9dWKELqQHZE5DmTOLvGPsj4cm
nu4R/DgkE/OucOQ+bTV+LLi7Y1ZV7JavM2xj4b5HGIeN0C2OBpqWmm7+wSUwcFSEGJN+thoZln6I
gqJDpqqt0nAfezUikgibDgR4JdLeuafE16odHTToze2wpWHImw18mze/1os6KNw2uWTQwZEpy4Zk
dqWuMGFj+wcg8YjnbPLuNu59nrR/okNIiiZoPsVcVEikBUk28w0MCsNID10gaZOcanWS8YxWC3k5
M7I4E7T9Pgt9O/TRu535Fe2whqPdmhtklc9DCLeYqvQsEe7LwOPYvEG4ZhI4Q9EOLvsRNgQgbUhq
QYr1yy17BVlY9l18BP3xGrbhgG6WCtB34Om6IP6UeOJxBarnp8vnUUT1cRDp0a3jmVdsOHM1f6bo
XzHJPHqUHkXIbr0UC1d8+gEx+qbvpwPWbJjcUbTgA5GmQDb2wVq1byHxVlBIp0akZbsCTcXdQ99m
Ox9F0JgHzqxAnLVDA7+cqYZv9R8X+IcLfNld8OdH2/X7VA/q3x1ul9f9PNzgA4dQ5y6AWJREuAV/
mWexxQ/RC+zVgWD2Azf7Kdv9QEgQnPq5Kgjm7M+zLflvmL/YOBTgqRiAZDEE/5V59jIY/y64ju8A
ECWETx3idAsI3vmvsl0zeW2QuEDc9r6L+LUIdPy2Eh9cYjyh77xT8A5Ozoz0jQrEmQ+pJ1E5ltVb
XhF3mp9TEanHNK1jh8UAZlG7UCb6ZQ5xKCF11yUlFSD3o9p7XoOwydbKRXkXBG0erPSOYcGLqcit
sfQJfPH7Url3ZKMjJJQe6MwQd6X+Puj6+jbY4GSSliKHywvjTQh+NxMmJ5xS1WTnvPK393acLOR6
1FETVHM2I22QbY51iMKyXSctkA+ZsCw2yMJV04TVGfww9PQhsvFDX1NStAjeb3y9cWyqMNiQ91GO
j0MYvAnWhJniE7pd2ZisCpzbszpF2twqxESi+KGhyRXO5c+AyXctld1VP6mzES3GBB6wIpoTLFCa
Koh3y8DywbUPmJk+jZEbrkMsvcichH0BRnSFV4FQ3RLZJZsA4uQ6XLHqQ1bdFdZDly4ZPod0tPlM
/KEw/vTh5mlDyHXtSjabQzc3GOQB1MN3GpKkgbWT5lGEURtYAY5QXeWiwe9g5GTJK4y4h1ri3yK7
QqxM1bNElgEGwz2LRMGG7is2TjxRdYFfdBNd8Zgf68G7rwdY5jZOBM5JyJUVdvVUaMbQCkYPgtKn
aOrhPcfJN6rk2W3hw7AxNBo+g5cDNSCDf9pkqlrPsia59hebRUruu9pbM0RyXK4xsZpRPjd07gpK
l3oHD6qkg36UMUWmcEGmBZmUXTQm9sZc7O1kmxmmueioMaE8s4uUO7Xm3gE7zOJQ3EiHwWv0fDj1
m/kEGfALt0t8oGJCAijydzjvXsBZfU54lQcTeUfnBd778jZ8++BtWF3E3W3X1nA5g13K73CxqpvI
mqsube/cRt9qCkdVto7sprWGLYs55egP21lTXHYkbq5UoArWT3jjHnvBEgIvQ9ayzkmz8tyb6l27
tDfx0N+GKUDLlN7ZGe4uVAebVUm088LxLfK8QsTBpx6paxxMyWmw9HarlxDhGHP2Ur6r7AjTjM9P
rEm+UG+9xnquj4D3T7NOjmDIrhrbkqMvEijb2J2RxwqfAzID36D24hZzFWJKa2eKQdJb/PA004v4
PE4xdlP5/W3Ayd2IrVpj2n7xPJy/Cj0WpjBMYGF/p41iMKvEOem1fBEUGFO3dUHm+bI7e51BRF0A
neIQ1fKk798XwNhoELt7MvPPCNdsOUA7dGhpdEiZu+qkvjYENLaJXpGRfdchUqcxvukS3DdDXXQ8
PYpB386dv8dOkUOI9Oiu5uhJYxplMsKouLWyiILLIjGkw7ZYnLBTIDzXZJL389pCG14tWVEgpIWi
Hjqs3ho1AlvsBTtfO6ATyLJmY42dXWPn6z1MfPRAUqliWKPgDnnpk+fX5EbgxsLaDPC1MukdsNEJ
H45O1hc3yuphIqQ7N1ET7zV+BeXSed2BJMhjDANJwqxCAMzPLNUCKFzoNVkg8K23wSc7r+Ft9p9j
+scx7YNt+vNj+m/9+zc1/Zu5Fa/6eUhfROckuMDaUJ2xmu9XWAuPhg5wcGPsu+jKv3CeWAEIkhe7
mC8LtZPfbaTCczFweEc+ljYB1gYe/pcO6R8rk34/gGLI9bEKKCGIciJQ+ftDWg2xa2MwI7d+Fz61
an4MsBCuj+b7dgXls9hInHAdLT2JDs22NTDOW77jFrVSr4Zn/jiMKJFQX7Ho4MGPgA2IAQfSEmma
zY7ca3/EOqMUX0siHAO5cyDHtJqCbBDd45Qg0+ekYhlR67U3+irrJZr1xVkv91aIPQkYItjuaG0n
vYw3vuyfEjCg14l18qoJAo2oJmTxisPXCbpkH81gNJlVS04FYhdukk9CMgCcHpRuf5qP44AgD9NV
CWEY9n7Uf2BnzjP2jXiXRvqgQu/Rc5As+Thfu8tqARdXX7BPrAGuYrZ8Ukspp2NDrkgVfrPifQpz
DTpEKV4VywUSH51BdgYwRCG7tS0CNw/lsDXvi4O3iPTaNwPynehhwRyJH2iy2Bs4sbvNQxeyydJz
V0aT0xqxt7ihR+U3UZZuoL7SJL7CKX9X94A5IsvAsKzktqUTCopvSsJ8fCRhMme6quZjMkU+5pT+
IaiW6D71xNc1QHGSDEsEuhCzJRFkF4wqAIJmCYI38E8HrnTZtVODlNGClsFnV0EtIBPXURaDe2+Y
fFjbGT6XM6QcQ6w9QjZugzaGfTQUkZuyGrV9rLQf5pykL5V3OYvrYT/6DUyJ5ClK3TvxKrnvN2iV
8NoaK0CtB+AIgLljEouGw+LbAPPUeAoJfhY3jfs0RG6x5UT6d0Ok5SPjI74xUkpDq25dNH2tFQiC
wHp3uMDfUwUtGdEreRIt+Qw1/nrCHpXCYxEWgy3hx7qYD5ts227WK+JzM+MHrDb50uMWzRTeSt4C
C94h4PAYo9M798w/2aZ5HVx6diMB8KrEXi0eNggCL5l9domDcZKplqOrmucb3TjcPvZJVPzLKBJ2
kCGWyTRe/8hdeNkEaV7GMEE+UVcgUNQJ2C1slI32OzZLYGfxp0n44mS1BLjVuEd8zeVqRDoDuyWU
wpxKp/zHHhE7YSEMQSu5C9dwy33KaUF49DKrZsqtMyabZylPc2BWGEFojcSG7qGbgQu6dVafK59X
BynEdNfQOEXkEjEJpCZ2zKDLCTCtVhrpZduQbA5UjQ9okCXvGoM+pa1xt+vgCNleIIxJRQGS8ug7
5h+BZR0Twrs9YpAX1yjEpHy5SxnWD8yNdpka5SHSkAM8WjQKqYem0YC5Ow8x6zjSOdaM4OSMRFKk
1VzoCKE+LBcpvCi+a6o0U7P9RNbmHE/mpMLtJo2mR5tAMndzv8cC0TaTPSQa2ZIbNJ6favWDOxV3
fWTuW0hRrF2v5x5WAMfA3WLNXdar5hmroE7R6h+2eX7SjPpYEyp9OAUqhCK1XrXzWCb+pHb9xuYs
mNZrPoX3LbCZcl1ImQTDKTBGZttsIF/wtxpzBxItN1gPdjc2cBeYnb9wHgPCat3nTsDSjkbGSuxC
eZv7BGHeDbSODoYnJbDm1IOVZCHGZ9gHt7XPoWnQS0dUhnsoiEEpFDYZxbX6j4j8m4h8eaDrnx/h
d937149/c4T/eAzs+28beX/4xtjWSLFt4O8JrV98Y8Q3YBojdhGDdoZS/HPQxnCOdX5Ys49lhRHx
Lwf/z0Ebxzs2AGN/C55+hCOc/iURGfH7Pw7aIG0uC/vhQ1+WNfwxq2E3HNMaKZ5bvdo2j3T7ouz2
ADwOxFpa3fZkbL6CHpbAEsMnwJhwIBFnfGTJ8t0T/i6gcZS5EEuLsEGsRFPNQHsBJawn/mWqWpKv
XYKR1sgHBK8qDIGK7xfEKcFeywKn/RcT1o/UuhfRa8i7HdDOYIjyVWEFG0KSp3CYe3xF8JphKneu
Cx7xvYpFI0g2LUYUgcFehoaZJkeE6hqRxU9AzpGjbatvzYw1sxO/96P1VmCbjUrgsFm73QeIhO1A
wdusiezdGkAegzZKsyRAPLnv2ovZlMHzzsPRNEcAAZDJB3IgArtuUq3mEgY1K802hGXYYrdD2yFW
HvbpgQ/RE9ZWYZVkWhigPGaAq45BpQZsC32eYEEU9gOBPfHdc5x+w5CK4oeaMvenxOrPxkf6ZYCi
mkUX4M1sMMmpBfsYr9uHxS4hS5JdEnoJTn/xXBEQSgAA8451mOwmEOe1OzRBcrvUyU0SQYFQ07Py
4i/GbOdEtXuv/X/sndlu3NbWrV/lvAA3Fhf722KxGlWVSr0l3RBqLPZ9z6f/Pzo7ia14Oyc/cC4O
sBEgQGLLdBXJtdacc4xvzGumE27VqHvIVdcSXx31sHlj8w35EVpmpUC6l6aXte7cmJF4TcZZrEbh
MGsTKs1ra7jPpP4U286lLC3ODD18gbJTYd2M1oEi5Q7Vee6as3igwYvLNkc+q/n35Vhfloy2gjpx
Vk2aItQPn8deuSu17jiG400LjkeYymOnxG+pEzOqR1vo1iWl35wWNhbx6oON9xZJVIQA2Tlxm45D
bK2r5cShf6il4QFNQrSMubC0CsAOOnr6MN6ZsV2sRGBt5xj7T50Xz1puPmnUTS6KxBds/TxfalWh
jsoTht/FUe3Td58n0qm1jEqt2KqpedGZ064w2/dewd0sQ+3OaIJtEKE7ZpJ+pYqhpQ2EjhtnVLiq
FQ67Stih69Q4awkneYhbvqQZpQAKLIYZeiZvWrP0HCgDk8hqkARtXl74wRBcyq54GJuntNprvHNP
WRuxxzPkCEFO4TbW74tqCq+noXb2fgL1obCacasv9A7RDTotZDX2pi5kYqKUH0Y8tM5xUMFKXfuh
H08eNLtqvu+/CQuMfrQZ+Qd+ot/mvsawQgm0h0iPC09HmCAcY2Z/0VdjDnwAnBF98zgGmOZsoaqx
sVJ8rNuhTi+iUre8rPdVrxy0p6I3Ym9eBtppyCONHt1chSN8UMPQXCXK1gAnx1u7REZRhOF5DOd3
SS8oqgJ7HSHEEJQEXZKhzBhV38sROq0XmGBqWZejjmUbOccs7C8R8o7QNuh2I/gw23YfIQCpkdGl
CELSqNuUiwhgRipSlE2JBbS90MM8uEyRkyS6ecu3q24rhCZNzLAf4YmDAKXW9NwN/OG1MfUHNvHH
TFjpSiJaiVMcAlU1zxtaPw9GOKJ7mzMYUBrIsEX1Aph3cJMwPQoEMfxf6eI145zYGk/lopqRleLV
WvIB0fS+jK2HsopOaa2/1g2gTZFZZxMBjtkVgh0+1FYa2hEssigPha++wlS8sRHwcPNQ8sTzgDvO
us96GnJzqrWuMdggAGzAtsvAGJ3QjFmgWhctL9PEq2cxXW5Czl0B4+aIuXPM/LljDg3e+ABf5pgs
A2pKxnaVIhMGeoNnAit5uuosO17rmTrDDWi/KiHK9MKp4k3bORztICTmy1Acjd+0k8zJ58B/Uabs
GDI/V5ZBujpOb/hy4tsJKblbD8OubPR8lU3o9a2gehsKoCNKDS2Eyfd9ZJuHsCzfgIa0biBFdjfm
9U7J5b0luwxEFXcDrgw+j0Ssbd9m2Rj2Vlb6a9/sdmXM7lC2b44csAJmKc9ak3UDqgER0J2tcRcx
bE+D3NNNp9lAVmicZ5nRiPp/g4/6/82+yjL/yxPRMnvI/9rTWH7oj54GDlUmDoZl/zZg+H7wABdK
EhtgwuUGWrvMJH4/EC2qYJykAgv8gm9ejim/H4isf32LXqflQQ9NX5BR/2DyAFnvLwciMNALhVJf
/hb8gT82NWwaHaapiPmsZeFDBZrGTSHlrvKywlw9U2pV5lalaDQmxe1H5yErcG+IDuRI5ph3sa2f
tKLdZ3HsVb3tg4K2stzxonAo79PCIeNAiutAoQ/QYp1wKPRj5RU5D8aKXNV6GpW8eaNr5MJfmakV
7xqYHl7G8Ppa5KW2LjrzdkhQLdv9dHYMMExjrq3LcKaRPBZ306Q8ULfca4XRrQSYF1fUOJKU6RxG
9gXNvTXsvrd6Rgmc5MMqiMVNGcsrzhEPsm84ktHRXPltcurLOsFplH9MNfVcKNUNVU+wlnWm4YYb
zwhwXqoUe5HRa90a/cw7aNl53QofA8Joe4FoBxfvl7pJaLrQGVf0aT+MheKGQ3BQO+sMW8rt1PAw
d5YrVKi+fRYyTJH9Aaznl1A4T4puoe1KKZc4dLVG9pBEoHbreL5vmXn0nVpeqj48pbL4kEJd93V0
43TlYqbNjmWQ7dVsekgamtBF/yFqTGxCmSyXmSklX8QyqEBCXmlpsqsapYTFAUl1KuTal6JzAR3b
jHfKyZ0nRHl9i/A4pDXUOpw4ipglKxOTAv0SJmTO9Bj5svUWTgGYVHXatn5MC2VUmRRLPA7aruvq
s5/W+LJENJEwUVcl/XGzy7atkSLxM1KQp23tNo0BwAXNllbQwA1RN+rCf00YUSXpqKz0DqtYPr4E
ZpGs+DOZbSw2Y86tQ0hjPNSUF1EHMZoDiEpqgl6xcb5OSWKfGD73ni2abiO70Dymg8Zimde3IdXs
pWyz4qDKoIe748True52YT+ijDdTnQ6axYggU7e5ErWblOf/sotsbBj6XqmaB2EYO9HJh6FvVTcI
G7FuG6leaqWMj2VO3yoAbO+FBl1ov4+VVT4unFRdWYzVqrgsR01eR3JxtCX91qGLMw3BRZYg8Rgr
+WJriNSolqMzEYODS7W0mexs07XNsFbB+LLv5a9TU2xkHz0WAbxUp4UHHHI/Yxr9Z103mdr9HXZ9
WQP+bHwi/BE6q40BEdxcbLFLefb9dLLUqJVSxVHPacZJ4h3VwZDtv6skf+KE/cklHPy5mk59oQog
5D9eYiqDsQHdgLinee2Sq6m8y53/Qlf+Lf3iy/rPVfuqI5P4r3vU8g3/sUfRXEfHDfxf/O6E/qNo
l/wS7W6Hf9ByLTrwf+9RS54p/Cs2j9+a61Tmf+xRS/ahsVAROOH+lsvzD/YozWG3++75MwRqbxXX
DPE6jAB4hD89f3054okOQu3cjLqgJdfvh0lnewJiiC+g2pCjQ33cTl8sxEa4UPU3mCTHlo7Q2liI
rUz39G1bg0Di8LXKRY5STNQrey679dj0l2TfNGvdqYk9KTpMnPlTGAUeGOGbRI+3+dRe4N++qUo6
83E1dSunlA10A3nMMwZbgWLh5HVwcToZ5KrBR0cZfzEARdMlhVZmjtnZCLSzOpieUxUXFqVOYsza
fu59hGcJdsQ+HLcIMD1plx9AHm66ITAu8sDfknbyakfTymlmiqSsIImGnVMDyrwywaGttdJ3xYgt
xyrDh0HtnpOx190wCXeUVTlOWroRWQjdu6VL6iKav0yy6iJNdAB0df1RYS9ejUpB2ZDa54jBqDsE
1Tk2+vJizFoAqBG9eitj9U3CGimaCPzLxizEmkbxTGCQPn/Ysk8ue916myO+3NLPwmvE+GIVNvXX
EJDCKS7SveEotO5kOW3DvLHPDWuUZ1kDd60LYSAS4+MmyGJQbOfhikaquY16DERmDZ1WH63gWgQU
L3OJE7UKAOpl+QJsGwakWZkG9mlK452mMX5Xokhu43CJSZiB/psjUF6akyhZfXXN0Rxfi95E7DKl
v9EHLfXqrJXbln6Gl2vxERjEARMsaD11307BvI4y+8OfY3MVYzz2lCbiRNFNsaf61rRNOlo/IqbF
gThs8qy6crZtbCI8H+tu60jQuBnm6DUTyugG74u97UoDH6Yq4p0Qvr/uYSniz9SU61R19FU280lR
27OGm8Lc2AH1XAxCZzUVQekpoKphzybRhUGjexvI8G6SzRXW4dxjnD0BmCxfi7QBvByaVEGUehel
QwM1YOdgwrp8RZHMn4fGiO9zuNyrZmFbTgvlUo6M75HNqWfDZhYULjTMiO8d4bPS7ewBh0446NSp
FgDNZCFpioWp2QeZshNtvOkM7LR+Tm8cQu8qW1icmk79yCgB8BmhVut6YXaaC71zhqMZj92NOWRY
9xEOwnmU6SVe+HYH/PmjzedXtAfhpi1pe6UEJJ0iQL6uNpp4Qitzb04DKjHF6rHL5vqNBDMaOUWr
rMU3+Gj4DUQagSQd+FtZswLxIKQ709hhhQl+ulOVQUXpF5guksGLfKGcDgvv1AF8ioyWsTBZEMzm
Ay9a6KiKjsRT0+57mvL4xsO7rIovrDi/GqzGVRTr1BjPviUPHc7oR4ZZXwezPY7oBFY5pihMEN1w
7KC47xxnoSrUHH+CRBwlVwvBsvW9/lEBPXfVOT2JQair3rEeZhvZTBTPeFWb7L2xIBnBud8X8XTN
Of6IShXZS9hr6zyzkZ5FiCTGPjTW41SMqz5ihoHbdp83ePOsRsN3PHEL1So7d0pwm47+syi6J7oY
rIKi7NdWUh+iQX0ZE9Nk3KeBg2iKYKOS+qSCVqwSvV7QiEwBZxVuQNOf0I1+6egBrzkYXdEOs8HF
WvneNgx+Zyti+vdp75Yt+ptY7OAj526v+5tYFNWZQ8u0imHgr5TRWbdj/bUBRcfUPloTUWA+AVnJ
DK/Ix1Mu27dCt/Z5ZzxilTX2UUb/s55fEUYQWVCMOz50ugk5wtLWmtepaV2GMauMUyhMH+hPOArW
30LdKZXJUatCnhgRfBEN12A7jqlsmL9F6WtrOzsr1y7VoNwqerUNiCrgntLOVflv4yUkkcxtou6j
iawrsk+AGhTTvl0kqd0iN9aTa/DyCnsBAERtOoRtep2hZlWj8C5F3RqaQGQXuWuH7jWNWreTqEVz
v7FoDMw7n/gMDnecV0FnoJ2lOPzqd0hU2ceUadvYsrGZZuIaD8z8RkR17X07EvzXCSc5K/zns9Hl
S/ny16PR8jN/HI04/5gI3EmTIQl4QUV9L4rHSAlMWahikQ7+UL4jM6S0/136zk/9Xr7bnJoQvFpo
/aT4NgX5J0ejhXj3+WhEJaADvVsYVJzSfzw311WT6UYv53O5TA4A8rObOriZSmO6V+Nq64f2m04/
FBxk9yo6Bm6LMVeM+qEx/HRdJco98Ki1MKaTMZfBymhBUvhpSw85OpuQNCbfvqKDRBKU2kmvGsQW
aetp0IxjkRVbUPu7LpZngEo4vMwZ+XeATqE1h1vTILGO8vqrYuYHhBVoy3s9OFkLc1IpE7IYKsOb
JD41FGHbTIv2YkFEltJ+sErtqpHp2XBoBnd1jrBb61NM/tPWH/HdT4ZzncbBbQDQP8ebgLQddWOQ
ci6ZWv3rUAQxgoSufMlbrjMZ/XZWOL1o2G0VU91lSiI2wagSjpEOodc6kcBAGJQXnQgST0KeRroI
Iy4JKzdKjY1Tpa8Ie9ftxF+97JttV7GIgzGOt+OMDt4SxD4OyQ6lpjdiY2PiwJhXT9W9nIoD2O3o
QoVn4+cTAR1L489PIMmA2XedwbyFlG9S5NXMc6EtUD7WOpBAc58PmBZAgiKda4x0j7Py0qTC1fKc
Xaj1n5vAvosVmyVR0Xb65H+liKPNCBIfjhp9QFrhK8kaSicCSmDoN6zimbibbKdZMcbfZzmMFj0o
caalOzQUlhsaDLCCmYSGImr8vQlfB8lZEpPbARE6h44xh9HkVQR9AOxO3oglYlGvFuG/Mssbp1Jx
DRgJxa8NJ4Iex1ppVbHpByYCyNBkdkrAM+zNTjF2waLBGBQ72Zc2u9Yyv+kZHa5MacUcx4y02tVN
UDB5A3lzoZrhOxIJqGOYJi/ADiLZS+t9XQV3jWAhFa3c6UqJ36Fl+wo7w+sBwLLnFIfcrpeJ00dB
X3Wlz8NBjP1j2UwwmufooZMVW7LmaBg5y0fUfgKAKbKSfDxmmdDd2o6BothQiYpg2w7GKZ9tXgnl
oR1U4RKIyASq5G8d6Ge26G0HK9CICIxs9KRYOUmzjS15TNG8MxVpn+eShBuR3DtjyAAGGWcgK2Pb
T23mxmoVYdIqmk0U5i+OSLB0K2w/AZ4HxznlqbNrjb5wB0t5j/zoHpBK5QZKgApeinctKh8ITlkr
KCLRr0r1pa8NT1GVJ6adsFhbGzs1elUV8vG1mejPbUkqpGq9W3NzmIzyclb1A/M0msgFDjvEHae8
zrYpASVeaZkHUhTcul72axne9GhoVkk0PUvrLlE8fbIPZRRtHM4HHLQiNBelchf1KJvaJL22I0tx
ZVEzE6AJb3a+myvEaoIpdk2tXWsDMCX8JYpi7uaG8zytpIomHhi4OpkYqDgn6sy91SeUJ7DJde66
HJpDb43BNsnmZ8fs202Lpca0d5VRxwCK4oBJXXXshnnvlNGrNEqxIgaHrs7grMoovm1T49Wpw2rd
jSSO5hWmXIXySM18XuIiHKGbt15WsRaunDkdyRmRU3b53x1XsP8ISfX+n3fc09f8vXiL8p9k/i4/
+N22y1MKOFRS7sslS/LPbRfSK+pA7GaI8cjwwvr9Z0eCLGBc4Q5dMkl98YMXDRW/JlAd/EPvuWH+
KCFYumHG0oegM07j3nK+ddS/DyFMW/DwMlDOqoIrqUU8jZbvqz9QNzFUMledJjaGGm/qCRg5pt2y
vnHqTLmW1uK+ItErt24C0E/2yiGNaN01av0F0pM1vREJ2S7o+Gwl5aRvgZAWKIrseRssb0aDhWBL
kwQKdT3Y5MVFo9eXirOhE/GYl4l4C6o0cys5lpsitNL1QGdo1QeLgrjg92pWpXMql/UzjQzsMgH2
7znsjYshty7iuKYloNV7I6TB0HTKtpPdazYi9eoJJKQMyyWqP3qqynQiQxkXlGV46IT7SzuHp50t
CG9H2Nq2njAKTfTuISCNaA5tikhmX56NXp/BYl16szYAjxubq7jJkU1PbfqEBn66VdUvEcU5WOfk
kuFouObQcx3PLdlCUj1Ngj3eRiE9ROVbEw0b02YSQTIaiqneGDzLHudtaw3RRW4pTNS1aNzDnhJe
Y1RasiIYbkBXLdALlbZccVuUs17RWjGQSsU0ANw20jF8M61O+oKkB9Tb25x1/Hrsxbkow3DnJPgc
fPTGE47/OdqgBM9ZxrQ8TZBmYZaqfUDAs2Rg7I3sqGtwYwqesDCc0TDkpX9rcNktGrlSeDzY+T6v
+x5NcxFd+KZinyKd0OZVC5w6gVENqlpdmNVqFz4RtYdRCpx1ACBlNTSgpVRQ1wn5Vp4P/Fo4hKBh
FjymfkjVHU/ndCFlhyCzw9lYV0BNzlMGnAzvO2az2k5cB9EIQ2JzX/fQt1kkVbePp1uqJ24TmG49
5F9ODStrNBjt69MgHYxwAEGMVSs75u91P0j9REaicjGhs1ALLdWuDKOhOcVYOhDNCkyLKwkag8af
tkfaIwD7eNDOiE7NTV0Z1cHU0XIrRQGhjkDJ2J67LYHaz0sTvhUMFHCCNxfDuJD3+4DNVffty4SW
npI573jUjmacXRddd+8r2qkpmZmupFJeTpT5eyqshb037xSDYUbG4OFOxD4JXvbXVhkPUWodIt06
TmHheBaZltU4eSYcLj7z2Z7yo5Flz4hrD4YaHbMQilPUGf4ptwGz0eQgRSwMbonYCvZVmO5rgkSS
iptkh1gChqXGpEGygu72EnQwW1ozOo89KapjjiZfafuMY1rlqma6B9Xg2XX9kmH1H4pEdYmcMK2I
pSXbYO7ZlARiCcrxDePhm5JBQFjGbIj6wRlGd1AppcMW+jOgq3s7FWepd/fQlekH0ZM04Uo65oVv
zx9lpd4Yc7e3OqgPhN+Z5E0Spz0eDIW4zr5/CU1tS8PNg5xA3J9hXzVJfmMX8t1BjYBQaLF1Tje6
Qhsmq8oT8NqNkuhuyT0mKTRydbVdBVmPoFKghPCzt3ma7sjtpSxJ4j2Nvqu5IEoCKL8VB0sG0o7G
IuduLp8a4jrLx8upmlw5T/vcX2So+BBmZTt3yc4yhUvK3M5sxo1iiMXIF72ZNrW2Uu5I7ECGYHlg
Jc55KdAKCkQsEHVWcRdcSXy4UR/sRsqErFCOKKLwsEcvFfrjKRld0uI+pC5dv1ZpAQvXb0E/pF8L
v7sZW4snEqmjoCE35I8GWL+GBrOqcw2GV8RWnk3dJpHPJFeARmMw3uijs9j+5dpJ02ZVUC5leu06
uDlXS3+AWe/GdkgZq6JLVrgN1EuXkKe1aeMrDZpwzzRtN871o1BbnBb2rWmWj7BrbwKEXF32Tg7x
10oISCOjurK0aBOZJWP9aZ0E+sLKdQMtvEYffCp67QbPyYeqtPRBEGgOGH6E2ClOv7MbZSOQlMdG
cSSw7h6HE+AjygLTKD1f4WQoug2v4mXj2BtVay40f+KCaJZLvrAxb9ZF5ecrfGxvQ1c88keB+fRp
jDY63aaYc5VF5hjJ9i9N3jASVA5pW+zh+3sFrIlVXyebEGY6XUZkJqA9Ge2Z1la2/Zesy5/bipKt
tPYQWr0yxGFatPUup84RI/3v2XC2JMY/DrX4UtRk6Sgq1LoR00nHd+d4AU1EqzV4Oq0tSuDrvEgP
5UyZonS3aWTt7NE/Q/je53p2gX7nFBbAkfIu2pDIdlX6CwCOnMLBvo5rik51fCrNlBQ5JqTSse/9
2rxuCCvJG+OmGxH722pz2zEP60u67UTRrHIjPaZGQN55hRUAHmm9LFRzQWOwPcja2JbEqCFrx6Y3
uM2wjGFysHT5fQ3RXJXFQZF6eFZ8pqAB877bpqGgm2V7UQP2nAeAM3TlFSV+p315H7cZ5LiBIhkd
y5NusKnrCVJh4m0i9d3M6EC21SN8pj2ntjPrbeSJOmGc3xwIR+S9xJGLtEh9Co2m3DhacpdhW2ew
nmwTTb2KEzvG1MbkFtTNRtrWzicHapBKRjJbQYcQAQ0KLqoKuU7S2DPC/ApI5Tb2RzKQpvdSoWnd
xC9tTQID+x9vQAPOqrc8yDpeHSo5xoUW7B3ZnDTJ1lhmd71iv/c92JJIEI9jbSIxekxVWX8aqIbB
OG/GLD8gEzrUrXEHK5a9hoSSvMGmRU2uhINykUudZx1On870XC32qdKeZpySTV2+dXbtBTHVhZ+O
p15npJwJtr/vjrT/V8NMgzAsCSGJ6ZcDU+HHpgwSsbruolw5iwxwaYLi/UZBuP/riyyIox+HsstF
TIbGUE8WweaPF4G5KxCjqsp5tF9r4J/d01h8BNo6w2X86yv97MD7/ZU+wZYKv5jU2edK0r4M9aU9
jlRt3hfmQ9w9R2AKfn25v46C+WC8TUsCxCLV/fTBJCxTG5BBcNUrz213qIK3PH379SV+9ok4LXNY
5jLaXwaKvmmNwpnK8IphGdFksNi9NETiEGwj1B+y/a3WI/Pu55jnn3wikIAULczPaRR+joxY+Ldy
Em10FeUB3YYKDMK2TP7mM0Hu+Pw8/HCR5de/K0sa+OeG6XORGFNtWx/JbPhN9v6//hifeo2QknBC
5lwB3q+5sCKKOx928K9vDV3TX36MT3e/TGiy9VkTXY2KtgoN14mu9AjBrfWErtgkJ6pr/uaKP7s7
cKexlxlE8DHj/vGLSyI7i3KmUFdWdV2JAIPF3vI/fv2pfnYNjZmdbpIfj8v801fnG5pigneIr6BV
eHDhrZxWTnr/64v87KvTLARjyNo12tWfLlIMoWVF0Rhzf55y8xhSKeIaIrHsNu4OOiDgwb/+9RWX
Z+rTGsQS9+cVP90sxodOXaoTfG3EOn3zBRLM3ywG6o/fnIECzlAtneAWfPEm7+unxacpdKbZo5pd
xUc0ZHs2z1PhGp5xHd4Ybu5FGxLGNr/+VD9e8luB/8On+nRJyOnZSIMsvupNLCxYkKXDolDsfn2V
n393+P0FO6dhGp/uljljd2gzEV/5leOS8Wvb7d98d8u3//nuwL3naWM4ANLn04NdNjKCLq/EVxal
72RLTpvPkU7AUhz/zWf52Tf2/ZW0H18hKuKixtkcX6nG19C+Nvzbav6b5e3nlzBM5iwIUZCr/HiJ
CLm5rc9BcpXnZ6MbVyNYM9mZf7PV/ewV4mH74yqfbn1S9yFjf64SJW+psvM1JMz6xkhIx22vlARC
5d/co798LCkYLdGaR/6JrlP/dFSQjm+VmVWkV22/hfOJRKSab/7hg/bpEvTSvt8Y8j7gCw2r9GqY
QZIowXpCI/2/ucSSlYBYaJER/XiJeBwzJaXSumrSN2VmchD9zQX+8ijzGTAFo0EzaLxhEP7xAiyd
1qDmc3bFOS/rCDyI94vWnITKbx/kv3PQBVT8n7uy7kv60n+tX5q/DkOXH/yjK4s/m/MsXmpdgxCg
f9+VFf/ioIsF21GZh/IC/dGV1ex/GYwoHGHCRAa/YvFLvw9D0TIvrVS6shq+YJ3p5j8Zhi793e8W
PHRiNqvpQgT91hh2rM9PemAjqOnt4iyYWO5AdW0ZoiwBrcOhs/rJHTrZHMcOj4smZiyCY3eVxxDm
tTx7rbG+rBulAc4eGp6j1dTSg6nhmWIKiEgJf4EySATDNil/4AfXgJ+yqypwvoTGjIu01jR3FPOB
YPhjbeg7uAx0BBTaSlNJezco4Gjap7mewOaCnN91aXsRZHG1SnTILjbVWKBbJ1PqxPKWHcWMfe0M
VrLO6whjeP2CmQ1ClBE89JlRroaIzEVS7HuGqvPJzK0vo0+Avappj05afDHH/uAk6nGw0jvFyE4t
kC+sCOF9XvsMcdSMKI9h8UjcQFLZqIHyJKMRBmWwaamGIESXR1xFj8y+L4nsQw9tjNt+xB/KQ0Gi
Lc7OfExhKlmtF5kEZBBhlK61GoPL5FcTHba883o6LQvW4lxDH4NHrzGExFqGqfhySHGhBvOgbo2k
3cRmhVe6j13Gj1SEcr7SfPNNtuVd0k0bArdRBwdUljpj0jDbRzJrSclsrszOug8rP/BKfXo0IxrH
0WCUa9SMNJRyMgnxEzWw36xtW8/X9ZhbGzVML0Y1/RrOpPParbwHPaKS1y59F8bUmdJUXqa+tRvt
4LYCM8+sEgv3YB/MKY5dqLibyGJGS9/Yi9o59lqNZbvu7Ed4K+Cuq6VHXkRbSNv5KsmKN7TgxTpu
J44PlYqWmORxgbCwnXakHsQgp+PXuta+QtBkaC2CXVDplwGp7WNfBatJ9CQrT6n+oBmYPwQ7OG2a
yC3y6iIzzH1qqCejCze1HeBuTiOyx8dR0lBjTG5/IzPnRtd6Q7+gYoZ3Z06GGsgleVACq/hMq3tl
YR7XlUq6FUJkx1wsytIHP8DsY01wzk4uDvSiHl8SR7+LRLHum8wTS/YUjy7PkfOl0AjoJXqkv0UC
V3mRE4xeYnVkW/lI3NXF/Q4VDjujkd44PXYd4laXMNJ97phHv2/UVba46NMg5r2w0s6zoR5stMVt
b/KmbzDYoeknCP4wYcr3Medri0u/xa5vL7790WRmgcGmoQlKd0SZMV3r2MTxHJ6LgjclXhgABFZd
AcQ8hpkQ63LhBJgAA9LcfG4BCDTFdaRDtq1hC9h25u9Hs7gc0QbgjxsuHFm8682SHwuZINOz0rMS
0n+VUUnW5QIwGIwF21AZwXppV+Ivj+dnuRAPqMHifQMFIcLCBkGQx6DP/JdpQSXIqTr5Czwhh6Iw
lvqOFFUFzV74oATJ16TjlSFTmWcbBkPjgGVfoAyOJjXS7NO7Kvc/HJrobjDy3BFMswXdE3j6iFlK
KXGK90GVHxU5GicVDAQetOpy7CdSQxZGhOXM/nqktY3hgflFUMOSCIf+RGMOvuzCmUid6DaseZoN
PVD3dUrcqu5zx0ef4VAyzdeFX5qkk2GeaLJ+dkuAFlpVdygdebHCmRYek4XBJSLL3zDfxkJQtfoO
vify1PAiIRCcMVl1nenaIQWkAZX1zl982qj2aVbj3NbmeWQSVDB1PpdINR4TB2icZzZEULtNFx+6
ridTq8X7IEEQ+AS2xFHzZDtBqP9XN/5v3TiH0V+cCdBb1i//xy2a9uUnxwJ+9o9jgfovmijsLY6q
qkjEvz8WyH8RvwdZ7U+N+L+HtRwL6FxJqlQCC34TQn13LEDvbRiONH9juvwjz/dv3oE/66BFPu4w
9uU4gNOJf5Zjy/cHYCezZmcJ7TynfQTXzK2rQlzQQNcvcpTasRub2T0ZN6yuo3K0c96x2MjgeBIU
G+YKGpg2vkPXc0js8bYX43HyQZyUoQmverCJsY3mCydqH4ZsurQybW8Q/qJB2AfODcZ/JLi57Ex3
JFshmllTMgS6oEwd9jCHKF9N+9DsgFyqbzFxUTK5ZaRJr06UCgSnvuni2IZoKVCdN+HTZEI/aFJ9
8pBQZmtRl3e62ZHU2ymS/RONUzkLd8Keq5Og49a5/yV11HUrycAEj7E2ouHVBMIV+xUJKqr1BnMh
cnszejSrkQGAZe610cZUi8JXKeQjwpatbZWz69MBDmE9rrQm20mTaUdf2LtmJNpw0nvy0/vxdSr8
16wdz2CjK/xW7VNE3Jib6XSTk3GPrjjfqCOp9HWPJtMOyvdA4LMd1fyxLKBbQXrU1lgzv5q+ZPaQ
TC9RafgHpK4WEFAJ8jgwPSW31RuJrH2tF36IxRY2RQGUczsMyUE1qp4lgLMY0tAa32bcu7NuRSxe
VrFJJ00waRpnzwbVjdBqJkBB5g2TZXtcJ8AwNzYIFkRhyuS2sAhWZIuFKMoLdlYR4cwVTXRgF0y3
xNq3t9Lo5wfwO+G6EKm/SoBgnYCTEKoxJMlTUQPKQIdroirKspumVqur0JTR3lbr8Vg5zEv6KS0u
pMm6uWi04qNP6JPvKcV47Gqs/wDAmQKMdqTY68FQKlKaBNYwPHXh4q6Dj633W5/+6bMSO8GHbrN7
ZnSfkPtMnZeQjjhl8H6amONkv0QnNnV0UMlSbCFXjmQrVmQsNmQtioZ+uFJ1l/USw+gvgYwEtkLg
WEIarSWuUSe3UW8JcKwyQUDTEulItqPvs/kkS9xjvgQ/mksEJCh1aNtLLKSVERBZfMuKlNGtpX0L
jzSTU7EESqKc7x+QQNh7E3IxNDaCJxWbCMqGLMr/Ye88luNIsiz6K2Ozd1oID7WYTWakhEposQkj
QCC01vH1cxwcsljsrh6rfZn1otpIAERmpPsT9547qVBK1n3+pGIq/2nwPmU3Shn614e5/5791yWP
PO3wv4Cj+cKfJ7n5hQ89rRpOdg5Kl5mV2kD9z38Loozw9DC6RFbzfzk1P2U3SGQ1jbEZ5jCF8DD5
qv9r8KT+xXQhZnGS2ya3wN9LWuWK+VN7J8m0QfTzOQY0GZX8do53QZ+02VIYpwLdt5bG506Yrs1h
3vzyypy+Xwy/hjIaLh3pLz+I30QNmbiy6GYZ11q/95ECMDA2iHREzADmlgx7V25YnR/zOAdOYIRk
bKHD8/WuvPLm/rxOK9zaMNcrQEnrMaeUTRs9PUOD5/l8hrS1SfTzSlissYhvexrbigBEN2K/rfw7
UZvdVvzAtVFlJ8zhDGmcgnS82qh9Vwyc6VhP8Ia4ZzVOWQ/n0rrQW0h5lo3nJS22gT1ssfeScUbK
jd+mExsa+Shc58KTJOnxaz5FBBlg37VuqSBvRD5dCmHBn9cUih2tgu16h8Yb8PXnIWeIfg8Ll0xo
vPO+oUi7EPWvLbFsR9k/em7zboTOS5jPsEcp99Ke1Mdsjk9WE5zZTh5vYbDsCaRodm2Eq9ZsmvvS
Dvexi8gzi6IzzZOvxRil2yEHn2kPpOJk5VT5olcmFCrZrU4og56jJVhkciVdDuY5s6hsTb+205fe
YWfdEvU45f2q1MG31P2OamJP6wTQkfOWf6gZQ2Uq8EIZ1q0g/gNpaO1i+H/xOloYIsn6mluq7WVK
MB/WekUKqeB20rx8uDPNJNu1CzH07J0LjFY1ay7dmS+NkRAOFt0YUHVwkXp2qrMo2ZrmuFtyeRGG
QbjqdLnzBl7baESJLWyyMqvae6EE2WNJuymLZfbNpX0AdrqswxY9iNmx6R37g26lg9+Y2puWoW0K
x/khi2NrN5nLlTFBuWqjZGDN3HzTM+ObMWZQtid9jyn2AAZPB7k97nCkXedIQQngsM8dk9W3nRVv
S1I9RU4brXO7vAN2DeGgdtL92Js7bFh4hIMthhOv2fCIQd6SyKJ1RKpfC5bJzXZxBTmDlj2RKqhN
KbCW2WhAzMixLnzNGbckeyt3STMds8xiZj6jiQtoHKT5DfHvIbb07bDQR6K4qIaHFG0WHhgUtJAa
gWQgw9RjP02Mg0kjpGMn61SX7NZfQbbf6Kl4dz3ephoMc8nTiOtpoB5rOzBfo4/wWj8Qz4h/axzO
3QYCuqDCYjHM0r8dYpViPD7bidOiza4uwphEhLaawMTTqMj2vEqIcOra/Th2T0tA7zN5MH8SjTVa
iQyLj6xZpCd4d2eZEIclw64WhVEEq2PGWDjE3+xxJstuTMzV1Os3UWfvprJ7T4G5r4k3wPVcIVbY
wOI7RLI5Szuxn23n65RoL4s1p2snm9vVjOJJ3hKTihurP1alitlkeVM0a2NLx4rMrqOrMjcjjM3B
MFH8RTjflmrYmU7SbTUdyVU4yBeFr+2mcvQDwRJQjtWuJzVjLsfnpkSdG8/yoes096ISiazvVHkU
ujCD9qWR69n/d4yqoe8fZbc6RbkuJKhlpoGAFJQ/4teyu20JgQ1mez6NZGKu5C44TrflxSHpVuJr
8Vht0gPem1VwhnWZQJqdefjPx/i/joz58cpS/BmuixPpzz++CXprEHa/nAbnaxUcPK2D2vMiyvxv
j6b5PZUFhLAkW6Iw/fPPQb2FQGwalhMysYgaGtyPFx6Iq/x/fs6fb7/vLyevJ3cggCxUer+NwGtG
NBb8AO1kW2eNfVWZNO3y8T+/Zp/rht/fs19/md9+SA8qqjVIDjsN2/YBwN9m2GvfXCDEq/Ii5xlb
3TQbHKVbY39/6frZ6nK4iLcP7SbYXCfHcbWnuD/vfP6ij1zNLzcP//nfpxKp/uWZUhnrjgn4gnnz
b/++rAezU8yafsJ2ewnraqNd6I/hEas8wwx/Xh2f9d20vqy3496y1vkZWQbX6E62pL19X9z8sylQ
i8i/LiSfy+zfSLfV1/ysIZkGaCyzECPonMsW+4OfNSTTAD4rLHUR7H1Wgz9qSKYBFFqsdqxPrDpd
288akj9ina3Zrul6rqrG3L+zJGBE/adHSE0DXD6nJgsHduS4ZlTx94tOApRGUmRGMl1VHYK8yu18
J2juOgN3QWLMnc8DVmJf0LMrMBH5bdsH8Hg0vd/3aGDWOqvHEKpbh+XXvDSpIplvUpbNTvJuLjZW
GE6Js6geXr1+BFI4K35anU0nD1XlOs8LZ+0RaHwnsVCiKnNWXeH5QxyVV6SMsKEfwRXroQOQnWNt
EyJR81tdv88XTDpZZva7hBQHDoKDObt3Yd0320kmBkUUiaYZruo1oJ8Xodnj3hvdh2Ix4vtajiVE
+bnYdkTLrkVaTGudl+Aq1gn0mLTO29eMSq/CEShcl8MtHyvcT1loevuqYJgYhs5T2UJhlch4Ecvl
532N+dkTz6MF1LnDfk6INfP7iLCLXjL/DdE3h8MxbcQZYwLgaPoF1FfQYF2pKLTEIxZp9GIN8utk
A28ESvoY1uljYxX4TaJwXAVhfNsxdWWQIpimFDrBEWG4T5eh3gs7fzdDlNZUREe7YafQLQXjEXK+
t52wwm0UjLj8reWZNzoBO1/dliK4lNn86i7x3gyY5crK/BbM7Um0xXBOq9ygIls0OmL30lzQai7B
cmmVvKVdNfn1PJ7S3Hw1zOaR3v5NBBUEvIg5ZjZdEYAWrZwK7auuFM/siA4WShOQ2RMJ6KGHoZrF
vpFLxKv2OSWruykdM1hZevRchcs1vIOzpEYWKaYFDUUBMY7nA2qAiyn4ykT1br5qDMrmg6MiI5wo
PBOBXIhr0cHjZxZw18ix3kULibV3JQveeUtaMYxvuHIX2pDBZCWt0rEobbjlz02HUUs2sH0IlEMr
VF6tGdOWq9xbrfJxNRYE1cEF3iIxedVGBb9f+b6A+vWbEiuYpjxhdrrwIiufmJhxjIXKOzbyAYdt
k+1NbGWZ8pcNsTxMynFWKe9ZoVxogaTGU740iOYj/BW8akYwUunjXjOxsc2zsWfkYcFIsO4ajG6G
crw5WN/oMy/R52eHEf4kCH/8cQ5GOYTCuK+6magu5aKrlJ9uaiinlMMu6KxzLWb75Sn3nYYNr8n6
+KhjzKuVQ68uY94lPHuZ+dTqwZUYQ9J8MfXJMd51nz4/L6eRoXBdhTM4fryAEZ5At6z4qPMxqSoH
Xj5SccKxjpMzVodUsD3JYl2/YkyjJloiuiFvD1SORPuMtu1yqBmAJZ69MWa4ZWQi8JwPpLMG1XQ9
6whQ57pKjzWpCQyojGCvMTwnWKCUuzkMPLA+dXuo6uIsjDRkz2FvHls7XI51ogsWAbW2Kevq2hYE
Ey/pfBRa+FSJ3DwZCUs+Tr/0IGLpQYmojgIVajiFwcZOqucaXfZHW+S+F/ExvnaS5H3BfsF4x4PV
872c+ef+VAXgX9+fm+y//LIBhf5vBjF84Y9LlLgSUjSBjZuSzvPPI3X9i04JRF6wYevMtCmBfozU
ydhEYMjkxoCX+rv/iXpcMlUHbs2S9u9t2hFe/H6JunwfKnsNqZnDhP+3OqwOg8kS+gAKXZYPo2Ih
D0CRBaMjxP1tcxKLIibTbD5ZElsm4C70uQ4oTzeHiNKKoQCcB0klXehxNFDMrNQcvyE+ic8v8K0F
Mus2j5cYmjaQlE72Jb5Tj2AR0Bes1ZbbXlGfmVVHjNede68tDnRlBUcfkG8HWDQFdbhvwEdjk3oM
FOJvSKpb3H1AuEXs7XUNXamkkTS1M8galyVWCBVPpa+0JtG3swXOsQJenXEOzIpmjRX3jG3sc9AZ
x86u2rMI8LU2hNk2rG1kaSMsZHAjrzaj+32niNnNZM1br5ze7dJ+d1xIUwA3er8FtO1N5lOBO/dY
9SRMmsC4jSG6jhSdm3/mm1fkV6kFm8EcHDTNdgkik1SmDaX7LiU6cGeR1As/YRuWcAYCNoeLlb/b
mb6ZVKpvmVU7kKPf0H3djHYa7pnDA6odLITh40JyaCxIyBTTFTp9cxWTHRyTITyoMGHkq3iQdSCi
hYoa5rDYZcN4MO3uJVdhxLVJLHHPYmNRQcWuNj+4WTK6p6llmFx10wIdgpbSOwdJ9bH0YDkDNt2b
NukloWcwKKQyVOYxegdSHTyOMeCeZmrcQ0oAr6jAnwYpigi9zOdFw7OABdPr73o7Cy+JBquOyyc+
NBLpvrLKzQjQTad4oURw2Vuz8CfgJH5QQgC8qNiWTMHy0Qy5Xyubq9wqscQJUZ5CnEArG8supvo7
R7DQGRN48z2DRfCnsi94iVmwBMn0WFnxNwfEWiCQchN6SZXW4Ax1RP+VcE/WvdJ8Fkb2wniKRFDQ
q7MnS/ZDyd7QkBEoOusEplUoXmut7MNF6k+wXLGNnduBc6H3QF5daK/5UnxoCv869K6NGQMkbJWG
1mqAEqtDi7UMOB7QY7OoO5+hyaIueeloNxmykYgJ9LKGO0t+5v0Eh3YeYVmSevMQ5iBqoya4C2DW
dgmvUGWEcmtWzH1SyLao5Z8DSLfIeriLQiqmiZtj5cTaK47Dm7FJLsOqAQrgkRbgDFejLm9MhdLN
g/i6ga1ru/Zauu4xpELs7fGsEhbehe5BjfvCwoINZEHjW/YmzN5KA6xOUOsTljJ3l4Qix0kM8IJj
jvu1FpRxCmASTANbqbh5amAFm95wkZrGIQIj3Cue8CBIpq3N8VAp1jAPLNghkd3A5nmtFJfYUYTi
xXaxlCTmBtqGi0eOOpzdXw7Lkyg6xThOqjw5FE61nlpI7oqFrE5cTim93KRyOJWEzqwMgme3Pd6b
UINhr5PNpvEScCZdm7N9kfTeG9Q0ni3HvjdsUIiyTsAMwJIZUJf7pTrimmghI1y7NQA6Z4rsbChS
QwsIytOtbJ+jn9AVBzrEu0687PTYL+GtrslXRzGjQ8O9SIco2IWhEFvm3zdADRsgSJRbs+G8GrGT
bqjmMejB152hRa/yGP8DJ+k2hVdCWYv8tyZJN270u0KRrXvSCN+qSFzainpdtpwRcfwIUO+q8aJ9
brkfCyOkTYdECIuOBpipxhsYt5YgyLBd8scc4lV4sRjhjK1tUOxc68xymztPodkbBWlflvKlXGIP
ac5gYgNfngDGTitnaF/tTtTrpW9QdWeXEfR3cpxfJmjwusLCm0VzzBZjg50p2/SddQ0F/qL3BKtJ
BZVPoMu7UOY1wYqvUeB5a0TQhDzkzoRJHwfsdWHUJ3CNSX50FQRnefIUx76eH3JrvK7G5MTzwIsw
9fc55PvFYhXYKaTUoNF0OQiTJo+EI3j5ut0ewdCeSW26L/A+BtI62fD1Kw+cq8t/TAq9TwXKWNMC
x+/ZbMLiBER/oRkdOGLbx6q6L6D4Nwrn78D1DxObQHiF+rcU9B/yP/h/7HzLQiCASMdD8RkREKPE
wRdrHOBMxFjJiBIoVahAqjXAuVXQQDgxZlfRA5/FyD9VmcEY4q+rsosSU/q/VmTqi36pyDyY8R5g
F4aZ5MX9MtbQv8B3NRgnyO/G858VGfsvlNeSvBGCU5k3UEb9sRlj0gFXzyS8xlWZNn9nqvEpYfhj
bsdQQ9VgFIy6znyFevG3oUZd1hIqdBKdQLhbgBDSkTvFcq50UkkaTlYRiGWTVthuoSYhEfB8QEYy
AJdCzMrW1XK9ux1tPfQ+RrfdN6Iwg6+0bIkGGavIxBnVZhscdczB+iZchAhPMi0AMjAFiUjUBg0z
MRhZrCVjl9N6ATsjp3AURmq2bWhHHaR+yBRz76CjbOI62gN/Q8ubJRaSgslprH0dNkzei7xFZViP
WXPFEdBjlTHn0dmACykJ+XBtX1u6XrxbIKR2/zz634EMPAz/4dF/b97ev/2bZ5+v+vHsq1AHi5bD
MhlWfFfw/hzp6V8MWhQJYdtR+Qz0MD+6EeeLjQmOuhZJMHAiNf//ofu1vzAYM3n4TUIf2BDIv/Pw
G5+OsD89/S4DRdXdqFQH9fn880jPFMaod3WaXnFtds0RahDXVjzkUjy6ZeqAzLWbfEbVktTXOpra
3sgPS5Pvp8NBCwA8Fkr/hvu8cx8wdFP3x8Mdi/AGVkxWRk9BiPXQ7uDlc84b67wNrmDMJr6VwHus
DIuIoDG/KdP5ahLZgFXJ+BqgYV9bTXpWaUSx2+zUGDI+TKJgdofFvHenh0Ubv9G63DDI5xuYS7UP
JwvKr1vuSWa6JnD7YygbY5MnOVWJrtmw5ruUzWx+EtJE+qbNnVr/XbllcM3SmY+Nqp5Dhj8AItz9
YFcG4koEHbbxLNEhYS5ngINqLoNmUw8bz5LJnoIp23iN45LWE9hAT6KnnsAdv7CqFCQlITGLykEz
VSJa/xmONqqcNDC6IVkPn/FphkpSm1SmGrIa1joqZ42ZZXamqew1pyOFzVZ5bKVKZmtVRltMNsc6
1MltQ8NyrFWSW6Qy3QqV7mbXTrdrVOJb9Bn+xmAEID2BcIFHMhzqrAWmM4F880BuHOxgIuQSlSaH
csg8c6sGpXbuzVT2JE/W8VE6IJ8OoHhEujWIVx9mJ9Vf9dqUfs96zqmT5CLi1u8DsO8dJOKooBmQ
4bLVCB6WiQdE7hOqZzbpe1YSSdSm56WmhX7ujLusS1nhWdZF44mLVhg8SHnsW1V2M0U0d0bzbIj0
PBkJWqqN/I6xJYWVQnJV9Ykl+mWRT6Q0R52TnqxkjtE9oqdNLnMrSpYL3WIkpqUjB3dCwDWZBwAt
okOfI9GdAgzHk224m3wJ35aJ/WsA5xKfrapxc858yysiSA/WG5LfZkXCSrqejK71zWja9DpT73y+
D6du4g4oLCzyCLBnMj5WAYBk+F2572pWuRchkgfNJZ855m8mfN8Il7VDdbtONRUYZHnp2l1QIjEj
HHxt0i4da9QQQFgwJ6uUEkrrzmwWZGsADMYmzlqid3PjxZ50uIxzeTs6CD29ecSSW4DDq1mZ061a
hH5IwjMc5z0Pwm90RRl9SbamgSEHCU9Tb8Hzngc4GEzR11Ab802pA3zAq+xtXR59TZehX2hNF/qB
RYW3ErAgCHdOkN8fi7Yr7/65P74rixju/PX9sQXO+O9oPhpf9eP+0Fnh2Bp3B/MsB6g9l8TP+wPf
COc2Aytb429YXBJ/3B/8fwh6+qdy6HPQ9eP+sL4oOwnZfg5qT3aif+v+gOT3+zTLY4DukS3o6BZL
RfO3TXWaQ1+dusC5JFn7GHb1UFx0ozHb6yQfqopzKe5JuBjbdp1HeTg9lAxIZ7/E0g5SOImeJ7O9
zaN69qO2SNdj1++Q1vlIABBFaIWBHg4sUOklryafRXocfPizaGu/WKxLCMsdEg3xXHKHwBN+BKmg
p9cdQN9bWK+scSbiAEnxzWiCQi0W4E8Kd1zVQw27VoTPc9VFpwDwln2Kstk5WYWLzkOSvg6XDJdJ
6VtBrhV3tiPMbUCLN24gtQfdVS3aKH7omWGQfZSOj6nhRdCT03IfR0lCuoXWXIyJPI69dWOFcgaI
WTxoS3bXS5CgZVS9Gcq2YkdwgjpyT5ouoRU0X6MiwXcv5KXdGzhRpoc+iq21ySxNDMIXOd1TqNwa
sqpgcs0jGvLCkfBsokfMAS4SlRT9vHWbuuMVqByC60X8DVzOXd7Ld00SD9DmvCiW2107phrL45bY
j3x/vJpV+jKbISOGMd5rC/KQWql88sy9qzPd2JZFSrSB2YnVlBj7qAtXxTA0fj7GBzMCOm/lkQO1
lSK11dJiYyTwz1JtJpbJuA5UHsdiRozDpbHnttfXhpvCaJ8n48BlhD6p175ppee7fZuvBTG9bMLa
HXEIX8OoPLM956wlV3Ydu6Bh2TLdOgGEVC9qgWeIbySYbDNtOlRBdRk2QHSBQ/tVs9j7vFDazaD6
6EpEIXbMJdaL/G2MPPYrM1gSz4Lx4Q3O3lZTUx6va6wY3apzy8vOAkEvl+CUeSi4QsLpwki/CSrB
upxhBCDIxlqDe27XPG/k2pZP0BxZboXdseMd7ODnW3UU7yaLa9XW6nJDRPIhJ4thqq1Hve0uKbbu
wCel61hrH/IwuolkFOOx6Hd6aIsD/a65GqLmZnaCO+i210vd8xHR0dnO+kiiUxzPvt4Epz5Y9nMW
CPTH4q2pReRrkhJktujvF93LMG+hNQ6tFj2yJmE7zMuxrJyrZC7nbelapC/0BSSaAR4UG89z9lHf
MsiLLMUyv2njCzYcyJQ152wuodpq8FlWcwiBhw+AL/Xka6NV43b2uisAjE8DYV9rPupkZs25vY56
84Pt17KihbrpF1Y/vbNfeGVWjjMtK1mU1GPpcG9gsdwLydMZqGlYm8XvcA8X5grOkzVatwbyqcNQ
pjRJjXFgwm76MNDOowE6tk3OHbE4Um7HOrmKQ9u3RXqTZ8MlRYNAb+YQFZqkrOE8Soei3toZo9iR
ACIf4dW8qgv7DtDngLtH+wgM+aKZ2RvAtkM9moxIQkCbgTDeZSse2sTx2EXnD/nYGZCo+tt57vRd
bOfP5SwBApUwMxlJRq08OnKyr83ErRw/bgHMzFH9ao6EMBhWzafcqVa9VV8Qc9xtlpTB9LC8Nqbx
XLueufc01nyV55yWfgDHSOHjywa6Nev5YgX45Y0wv/agOd1tVHTgb4F2ANsp51XvpAlnrflS2fK2
yzt3PUYuJqc+GP2mp/ROqqog21G7HDA6bRCUvQ8LKWQEU18kiTH4Q0DCQpoW3poEq2zl9TXAMo1h
NxBr0nn4JOutNPdaMFqX8USpMrT1hNrSiHzTqG9GiA3H2cXepi8DMBU2maYbE19pzn5MoUYlFFUX
FICHOQ9eIBdNfi5kvjEckNmTydNaNcmbTQsMED1ZNlZBLLQ0571dNPWhrOQ2xQvnR46dbV2XmTnn
4bIrkvqlca1t0QgAxMGuZNp5HYnYpjaPPSITWWujXvS29BGlmg8H13ZhVFunZo8ZmudI+THw5Ym7
Y8VAxCpCiHUwzPMx6vtvKcmi26jqzKNRkWpnYV3apFNY7KOiWO6XMee9GWextVSQNwntnKsGLh2r
Gw5mHiD8090F9fxwFmbeMfCWMxEv1Ig6o+EgXa6bPPAh3t+6wrHPQYgirusxBjI6PVV9dFdAdeJC
1LNtZTLC6iPRQMDp3uwao0WOEnk3uWhnZx0nBImahHVn0amLkfoGi+anJPIBzlnOzC44J5PVJxXq
NKDO35hJran1MYAmp7lEAvDm4uXM2oBdjuMx4beFRaCtRQCmO5NjH6J4W4hN17TxQe/Tr2UqTlkT
36bQRdewBe1N0ug2EebVe7Y4HyEMUBi2svWbWPItwaf7Y6Y9V9BXVkMfXwZej89Q1wZ/rBtQRUEK
cDTX9smUhA9wwchRDZ5t5tB0MCzvs/yjybtnaBDkonWX1acQs8vfAvAHG91DFenl2QMZ3siMY2SW
hhDX0LQ0X2TxhY4bgkSB9CzDybGW3KkWOVNrPDnvxJrtnT44d4M5hzg4H0G5ewruC8ereMzn5nIq
DNUg5vmqIY+EN/RYt/oZMSzfROV+jBOTd5vlU1Fjem+Td3TH27Yvu13rVJu24k/HUjxoiXa+hGd5
wpi3d7DdpV+9PnmNWg7fAaNM0jgHEgPUUwMurbWbI0hPht4pb0/OQCphazYtPM9xYLBRMOS7qZEb
iubnNk5C/jIH+IBGIW7I+ZFaySqLj92Oyu2FCuwQTyUJ8MyYzc4GjlXm6x7Vi127aB3GR93km1dT
ibkmOUtZ+O3MvHuTGHRDJyjWFRY4zcmxARYPBA+R2lOEOyvS8a+45iWi1vtmHJnkt1q8FnRnVeyd
zyw9fNOub3oBQcFJLB2ZQr7ry4mRvpFsbJ00PQazCCfyPIRBxUenWNAW4x6+zYeaX80thk1E3Umu
T4x5xVTVQ3NwzOg4zslHpFvxNhzdq1lPduWya8kIM1wQioWvT+euSO+ibEBtLmW+RoG/S5KB5GOH
QsZcXk0XBuIYvrp2fC4NSEZQoyLerPor/FZAc8aYWFzEQ3PGx+cuVIMNRt8PeuXQOGLAaZuNi1Ij
2xsENICV8gPXrK6Lz1GJVsQ2vkWQUuIxGspSo3cs2ubIvGGExRePgztsy2wQ8/XMu1NoVix8GSBc
DRcQjL7rpUfgZ/wrUsGnTTS7xQvZhZRiK5yk8otUjNtYlr7M094PhvIJBPqyKVwoJcMc6hsUWvdm
U9yO0p62rQkiP2keZexY8NJ1flOieRhJHSJHfq2K6TTFHnxEh0S/KIamS93VrtNUYkMaB31FzNHE
dcJwgZ51WIHUsnn/1HtHbd57M4qu6LxudLnKKulPnXM5dPGV1zvnylK2KmBY6d7st54815eZ6qas
XrlbiOXIsnVauPdtHMtj12vvSzAURC8CjJsHdy+H/oRVPKLIW3YTrcSKumb0gSB/a8Z8D5VBrEmn
WLY10iBZZzdGOkCWw9Vt5eW459w990YU2rPFZUfow74f+EQnBj/QamjAJeC2Vkcx3pLFQTjGrjKo
dj09fUlreHzRVVph9bLm1ThhS2uIgvDc4RLNU812t7vKreQbASOoNXW88XN8WYbapeXNWxQplxK2
HVtOsdR+04jwSCDnYzqGhy6Knzunu6+8EoUymim32U22c4sgmy48B+FnvMTEh3qt4GTMw8MyO8sh
6TPox8l9pLYiDrXgJiLW8IxT4UXmJeC3ZWBAVCdnU5Riwx+SEvPScjEOM95kW3+qBg3JdHrNNPpr
Wrn47duOJ8F7zmDYxWb0mI+sj/9p6L839PS3f93Q77L34t9k2ql0uh/9vKF/IRVOqlggkPifnfnP
ft744pmu5H94dQzkK3/080haNGY2P+Upf9iETPJ/Wa3wZ4aHuFnRI/4GB0K3+U6/qITVNuRT5Mn3
dAkcVt/uTxLPYm7Jtu1d78rIG4ImLH2pMFqWYXFtiiIyANUxw31h3dtcY9RERZgPcbFewMzbiXfe
FIy0qjx9TdnRAmhcDUYXbmcpWcpVZobGslEAwcmsN/3gXdOmfkC7jNdOQ6R6b+wEuRFhG9Or1DuN
PAmXXImpEnsRZ69WA3TTScrzMBmvUxVFYXeNT7+3dzRjr9HurkwGjsSZEO1FjgV2qEuDCig2MICO
Kuqi1+b9rMIvCqG/JqRhwPW2Do3rPFXkZCzN+MZ5eOF6TUZELL/bswpw61S8BpPn92Z2FaqPqxr/
KKchYRxsc7a4EYq1Meh7iMNnZH0NDDGI8EhN0WzA0xQHzSTuuMcM67fl8sjE4MJVQSBjQiRIo8JB
DEYCkSR6B8j+tlEBIsgTnU1CpohLtgjynsGvVdyITu5ITv4Ivlaq/vJqUsEkIg+sba7CSghnOhDo
Cy83BoWrY+zwtVEOhIsQc1Iphyi9b75m4YBzY77OrZSIT2AJkZF8m/PBZVZJEkFTBuhSMEOY4fy1
MHry5nX9ozMgyZO6gj/ynCUU40cVyDJ8RrOokBYYRgluVrrziQSXhSSXXBTjE+/nWWe9LLl9AYls
jf+eBJDkSIr87agiYZoxTVof/0MdnQuj6LnG4jQMV1XG8gCXPCnNuO9DyzlkrSs58YdoFyM5neDN
1d4F4/Po6KTlsDM4+w68LtCBpQIFR4Hr3QaEoaBOnPUJ9UjJOGCwQEOjfJCZj8Y03CFlRAvrFI1x
7mRZz8YDErpYUu3pn+Pw8zjUWRf99XG473NCk751/7ohU1/380Q0v6gJpolLDIYca69fJpzyC2eh
zu5MwyT/64aM7bBk6EhAxU8w+Y8NGeFqmobnkjXZj7no3zgRf1frSZcsErbXIKGxcGKF//N52PUE
3zilNZ567UhaYjLflO337elfsgG/uy//WMIpf4oGvZZ1HrQSG5cKC/JfdfU6kowkSdvqZI54FNuV
/ARBR6ZRmKdIa2o+/6U9pddLGdtwJKPIeeKEMNJr9gzzOoK5ZmCGrtbtVB7qaDqPg2xjm/FmAWK2
6heT7UR2CizhZ6U4zK1Hok9522kYtOYIHmXt3Exxuw/mmhVOPm2LuNN9S9ZHUY1X5Ey8ZnP6VZC5
1VfVgeyhJ2RplPNxdBV27cY1gP5FLKT1qfmgt9lVWTz6GSfWLq4lonn8UavOGvf1QI3ZO8m9w5bd
bNf8ek+hrR00D321qVdss4p3NuAkCk9QSOf8PajAa7h5hfBdm0gKa5ttlfXnAahy3y2UjmU0OJwd
7XVqiyNJkTnDreJu0MNjYBj3zcSn24i7xzSfW4De4xtJzcdZNsW2TqqLIppG36sJOrXiwFoHZXNL
ZC3yLVl2m3A2L8j5Rj/ZmtfZ6IXccf2TSEws6s604f6GFW50H4kDhtgllZJ1WHkqSnnmjI1EvFPH
qyyt4S5rE+dZx6k+JT3QvcpADDWgZpbV8qjnJdNTBqdlL26sUaAMM7K7MQcc67nps6gbuTLQRXtw
FC6zbtTXqPeOrYjxA+gg6XU3PA+7NzMptx6ghDgfjbWcajq0rHgMFhCdQU2aRxnqx8btG78bSDd3
rLcqRrM1zg1sJ/nmtjni7CT+cHPK51C6i193Hg4J+0PG41qr4/e4Zkiot8k+MpqI/spdl+xSB6N9
1ZNEWzeSsTB22gP5pEwESZUgmxldp4lLTrbduJFC8wiq7U/oke6HsCf8KwNIaEaNml3fsksjf9oJ
+zXR4ptMktEEeW2zqNPZc5Nbw1SwJsz0kzc8phoVezzbH0nivVg6YSEsoM2tyTpzJYIovShy4qnD
JCan1dLuw7m+LaRVHaPUvAoJBvejMhp5WKcXcud5esYacs7I6+E4yzMpK3g8ub+HpHiXxA5uh0a7
T8OMPgWmyyRw5w9hx/xKfHTCfSY7DilSGq0dU2crwWrR+1/2zmQ5bmTbsr/yrOZIQ+sABjWJAAIR
jI6dRFITGCmJ6PseX18LzCclxVSSllbTvDm6JgsiGrjj+Dl7rz2TmyYK1W21KdmVL+7AQa8rnxBV
WtbYjKtbIxiIOCVMhA5fmnxKZM3eGTP0SaENt1Wl8gwqv6Pm2EVJSYZ1UX5jRk9bmiYVyi66acnQ
7jsGvXe63hLc5UPCFp8XdD6jxCk+ZAXnVUm6rrvYXiqNtCIdLKthEMFjkkwCiGu7LNZNCnSdlg7k
6xLnpXbUGyOjFpOow5p1ydpc6D+npjDvCU//Dk+4WrGtVXTFFaDPJdmL055y9lEauz0oZdBK3UPQ
EXvPnnNd54oLkOi6ULTdoEjXxKg5Qgo+q4l4aAiuKRQZDDtqGNO6nLLwODftBmD52renbxzWyNA1
YydpyGiF/r1OAAWZTc0Aky5fXfYn0yzcukqQ/6PKZUoyMCXimB5bEr1a6Ty19ecsIjvBVxts+uFG
rcY7qfludNyJvTA3mk4sIXPTIUUm6w8UsXE3SZIrM+X+bAb96FVVra7jAC6UYZVteUo0It4LHebQ
XLlmnwcgMWL2rVVS6OW0yoxZ87BS1GsrpS6zNEKIq2ZTt8P9MKSfm0p6QH+rXcmdMV/ywKs2dVo9
VqqyC2vt2+hb52qeTnZqM3rN6GIZ9PycqOqBdMYpkO05s2/1zJqOQRbeREHwxLRBWg9Jl+5rDooU
my2m0Jw+M7k1D7nKrziEt1FUxI6tSRdd39x3SjHTZtSyjb8YfaHjNwTe8exZ2wl7QCelZCegcTpL
rSXdipiW7TTZgxvUBEWzyhuEBE3n6K2ZbVnNllOlraOLvt/2Sjt4dKaIdCDl2htyOOt9WgJmb+nY
04IztgM0lS217CV4k+tGD5fDqRf3S4Eq+V+jghnSLJRbSu37WhlvAqMWO0z494VNgAeiAv8DsjCT
01cnnZeHLh47gEiCs44JZ+/Xh65IuxIxWNVdFhZwJOUcW7eCd21wWog/Mof+WkUs1+KkRwawgvSF
2BNzOXW9Ms41TTG26tAMl5bv+snnaoLi/oG/86NLLP/+6hJDWqXp0KXDZcnCnLALhP0Xvbx5Vb9d
/lmSvOY7/PYiiJJkk9oKvdybizQhNJo4H4ZLrb6tisMonaR+9/4l/v6z8FW9usTiQXz1OVo6uIGi
j8Ml6QBZtZmzFvHOOTcf4+mDKy1Gi1+rrl+vtLyTV1dKw97IBOSzS9xCKyVnVKVedBmNE7fPLmYE
N+9/sF/Nk3/eAyA+DPiP4J6Y6P96OURJhBO0ysAJ6F5pUfSK2yDcT9l/Z40/kVsKzJJ/PmvssvJ7
HT2mvzlr8LofZw2FA8XiqEce/tJhYR3+6L4oAqgWriA2gxegJq/6oabggKKBZ6X454W46tgpfqgp
1D8ExiALnSqnhBfqy784a6DO+OWWNNB40H9RkaGyKy3Hjjf7hEnaez5K1XQcNSb8GyWRIZGUJqiT
Z3mec4NSq8UISqeDaey8LUSSkLjnjzE7mNCTa1+lR2qhPt/WSm9OhPiqX7FWNuvC9h/hqtygSssu
UeChPp2FutEMhVQlXW6OhRDPYYmOK8nARSk5Qb+MvjTXbIAjomky4e8pxmGmT7mT8rSl3GdGOK1H
gWIijoP6hNaNcTWtf+bWyR5Fd+5gfJ02tUE1i8QQdwvMkjWIFCbxqEZOej9dJEZ0sIrW32dRmmwS
yaajSnPJorYWxH4kuIBG22Sy2PIYrqjx1kpilk418kSsrA6Ehi49pOzepRjzCzPsbsm7kyl26I/T
hy/XgT1JpzoWX9Hi4pspTMXDb/s8x/EXmu24CfReyXaDb/qHUo+nT8yYfIbC4TFoNDoKYfy9DWb1
gbKX+TuKkE0vUkI6SBFCo7XAugJA3ntsFYorBlm6QC0oH4wob70IfMoqqDtxqE3zygLTeMNJaDeE
061UIv8q9Fz3ZKu4MgXDQpAvMEplHW5awSluTph76PJAj2pKpIMS4vs1pzo0HvoyQOgga8m+9Sel
9YgRniiT57oW9Tnkt+tJuI6Ok0LNjm5L8RnUx/wl8hNtqT2XROeg9qBzYuzKdlJvJbVLox1B1PNF
3ef2OcJ+URGeaDGQsPkS/LPNbILZQGI/94qdHFRkGkqQzTewy5TReVm0/4nol6izf9699t/r3/SN
l9f83LmQBJNYARDEZOS1yH5/7lxIjCE7EbSKoEtoL5DgHzuX8QeyXloXivwiPn6tI9b/QF6MExGF
pQART7f5X+xc5tKh+OtZStvYpoqCb8yyhOZBM+PXh5uplAGW6Lk9meQtkwIWIVq1QjV1zEq3PbO3
HlG9DpuqJMNbmeZYly6yxurQHZiRGj9EKvqEc+gXXbWjUVgS6tjFSCHxQ3XmZcmBcLjMh/JUakl0
y0ARS0moke8UN3PD0grjL1pqzFdTPpEOIfsqSnuqRn9C0phGjqrP4abF/hg4lUG8+E73pQx7k9Ka
afOQhTiHSlS4s8psUutEEzUbNR8j5SLLhrm4CWaWIL0MP+ZQB9PHs7WAtrLJEHTsW+HUxRB7UjJV
7lD5itcnQnGHsZo9ORH1ZyB3nbJN7EnMrtZ0Ewxx1Z5HN+2YjrK3L+6CXC8lxBzlLI7d1ISFU6qF
uImEWESZZsm0lL68p5Rh0t4kWlrbrtDL9DyqIlS9yuT/T0FT3M+DbkNXxOAUE3QXFuYO5ZYmu/8t
0Zdmpk5F9s9L9KZ9xJKfPnbN30uM5ZU/FiqrcSF1I6V/WYzLkvtRYjD7Qe+PYJPgFLqay2zlx0K1
/gD1hlIB2zIa/Zd/+lFimH8shwZhA49D5wYN7t8sVCrNtyvVki3szOwHiD+B578pQyWOf0mNNv/c
EWg6H2O1NOITfPHl5m6z9NLkyEkYbGqcDEb53SK4XpTXNRJswB7FKlOyQ4U4O52Ki7TJr+G6Oe2i
3tZi/wiZ9IiOgGhhBN6BhpIGpQlpGsPdTD/lZS5R0DXCPSkKNHXzRsnoFoQzAnk6NyzUDmpFGx/x
qTBIsHSAXn2uPKkSqu1+wC88BL2lIHtCCXNBI6ElyFSR0NeRRi8IoUGeIzj+y1q5AuuxMyMzY33Y
FyJFZ32r0ThE650NQJPsF9ptvYBv4wWB273QcPs/ybgwcs0XWm76Qs7FYiM5dmPV8TbJzX52qzqQ
KxeQNL7OdBifOoGdZ6DlZoIXWbfh4Fm9XXtlJMAnFb5jDtV4FVvpsNG64ojVrlqrDXHThPGSWYBK
L7Q1t/D7T6rsf5bqeYff+7qnPZHjH9ZRNPRSexgH42z3YlpZpVi429eQ1h5LqdinnSmtirY7dibs
bJNYNytEg1TbynXfSTuhqG7uVyeooc9gOFaZNGyVqL0YRLYN/OpAAXPK1PEE9vNJnpprO0TWEItP
id2jajS3vhKcRdiTgZyWN2mJGS+PnLSUvcForuvWcrRxQKuo32WmWAG3ebSt5gJjc7e2Mmissf2c
YwvVU3joQ+cOheXR+cRo3Rz9qLm0YZ0yg3eWaL1SUtzcDE9zkZEiiETAmE/ESIJKVYGHFEd0Iys9
y0/8lusyHjZ2GJ5ivzghDd3PmrEhs/MiNhjlC/mLasQbK2qPpdY+BQVhXMtPH5i0UGoMmZniWWI8
4MJvV50tnzrEa1MVn2qhXoEsWbez9MkItV0KHXSVdmzISbZroHxYmMFtv/pu60yz8vSOyLZP2N+v
21Da+KVxgEmwQex6kmPAFGICI6+PTz1vAs2M4iS5Arh7vuAJv65xIgemspGicT+M4a5o4AFaU/29
NtVrHJ/X9YQ12Q9648o0agSGQ3gSvn6cwLme61SOd2Tao6Kk9bz0oNCqrYyxOoPeOwwKt1Rn67u0
byTaLEPplI39bQrGE0Fw6Ea0A53Eq7Hi4TWWNDTT1HS0qvqCQ4DbTxOQOXyP4ei0kTT/C1iA40Du
8sbKuttk8F1N0kzY+/T+VZyqHATIJ9MywjGlsB4XORPy31A5Qiu51mtCjZH30bcb+cX72L6MS8lr
EI6SElNseaRJa6kx4001Ksc27rzED9aGTejzQGg2dwe/lool1O6ay8oPp3WuN1jqiA0Ip2afZtFZ
95ODVkmeoi1mpepUqpTmQ5V9LemWbdRZcpbOixP7xOZFrbgyUmtX4G7muQ14Ll98Ov48EiEed+tC
VgmUCcG80D4+cCYBs9BK60wt7ltTJz1dBawoZfOpU7QjwqdvQiMEW7LULTl0BsEqeJTzuL9GW/i5
JTwSpM7Wkrp0k055CYt9OBo2I5leZwcg9gO0Spl3jlr5TKijstrQgjwUlTKsmN6ck6T61Ava+mE4
3gaCMHW4icyuWwgzyZmgeaYBFWQxrY4Jos9y8p5Cm9mRNBxm8kT3IQTO9X/P/j+f/e8OMm9Iu3/8
n9Vj/fRYP/7m8f9qmgl9hDQsHfUG1lXaZBTKPx//8h88/KF5q4aK53Qxov54/Bt/0BnEBogkyvpf
l8ePxz/NB0FRbdGBeCGT/Ks6fekf/FqmL4cEFc+fuvQrtKWMf9Xy0kJFYoKf6aeQfNbmNI4Pr0qi
3/QH9WWQ++YKi5VXZY6LIMUwTD7k6yt0fqO3vjF2p242XFUtn6dSJxcivjbq9rklKLRGPuAAr68c
Rcp3YIC2dRW7nYnCS0iCMFtUW7kJN6yRb2MiGvSm/Cal3PiqfejQgKyZCAyrOUzPSg/z86D1bcVg
hyTggfXX4/NQNXBaVTZttGKaAYbLxm7EdPc8GPJR0yj3sW1FJiENUfqtUhf8NOJaV2/oOtRyIN3H
KXNEO9G/duGYbVrFDNZ6ElZ7ZWlEw/c4m6UpualV39t1wClCXSgGuj5cxiPndU0t2o3CQHc11Tkc
2+hLoqoHmj6UHNl0oICptmlebCEzzU7tV8D7U0+boyOQbw33fw6CbACGoY/PWSKd25G9sMlmjI+k
Igdle2PGSMvkcqfBRU1kaZuX3UXLoHRtdNPVmFgX8YzeIZhrILuQkEzz0Vf6AThDvA1syemS6LFt
fDAKps5mYW1pTJwlMikxhTmhrz6QOXyBfm9LiPtBzyvDqdX+mGIdFJnm1mW1xSvJwFK3P8fR3G7R
elzWfpGsmhlHT4TAt1JbGtDxhS7pt22KVU2dCZHWZv0m0shuC5sxdDsr2k2MpVZGzAzKj4XHmJHQ
1wVRq9vuAKiX34INO2/7DfTzC3qna1vv73TSphHznCCCPTTtfE4i/TrMiFTt/Mwz9f4YDvWumIZd
MMbILyfSL+1hC4flwGn0RigwLNs4vUOR+VnxzTvhd5uiFhfWbGyksf6CDYTKqbU9SWseCj486fWj
J03ztySFF2WG69o3HC0ZD+AQLGJLAoBoU84ftZDz6MQWB8L8wirYxFH8EPiL3bBp443Uddw21fNU
xFtrMfto5Zeulh8kSb5pzEVd6cdOP4LZMtKnOfGvkgykSDgFB85yxI7izlnpknkbzva6QhW+DqKA
eJUse7IVXIYS8h7XYrJ7tJZJeESyjCOVyBsNcRPb+n1XNgEUFSyIabmsnni4kZV4L3Xob9VqqBwD
/gmhJMb1aBHU3U0MlQBvJBThWuPaaYmeWgfjPjTiFEDEdyNDfIY7GDA/98nQtFukurQFilVfio71
Xfc+jq9J4ggeR310GutIHCoKM8fmq2BWXAbrWkpIXEXo4wCDqCmzJICAM3EkeeuD+rXQfhNYJe9L
sURDTypNxHoPHehc6mWzyztEAoqGdEBRq2ZLvz12g6g74MRHppqUuafMhuePsw1vVlVWnZ6WbtEu
6Sg8189mKqdk3UjNFWEeRJP75Vdjnj7XvvZoJtWW/e0Yo3Be2wpR5VMqHfxEJc4gxauUCGNct2mR
3RRGR1y6ghnpriPweejRn3G8O+tUiewsa/TiDjGnnVOU+d6sTDZEhLKKOVzlHYKAkiqdPeoiYDic
IomL8ZGSQHJIY8kLjfAop/JdUvdQUeSLwQZ3kY/JFz32jVUTkXpg+WKvtCQ6+3pkPpUDMQbzXC3u
sGrIbhMlGzYM98DcFtFaI0FpHVpzgiYkqo+zlZw0taQt0VwplWgAD5A4ToQwObmGw5a3UxW/cwNN
1Lt06j8JqbylL7ymC9mlTlN3oTsN2CnYc7qLQRbFl3yRAIyR9Fw19F+nDpQUl+MAhw3lTDVCJtSU
mAwK47D3SBCePLb+8M6vuAIdyNs80yIiTGT7opvqmPNDcMpphq1TU7N2XaKGK70wb42qQECvEzyF
UIJ5+6T7PhFz1a3wp1sLbuHCIcYh1BXNxugCZWUO46adLImuEOriYqqKdcoLV3VvdPd1lFqbBZSP
OyMaQp5KYYvwmEIuGcqNZmW1M2XFw3KSzIdoM5qT2zUkZE3mRVJNn+QwdnvkaisS7j91qXprYZXZ
j9PY7woprp3CT0Fy0ccC3SM/LFBNjkp6dd8JzHtlwYApCbnRTYLhES5o9+pCT/FVY9xYnWTTAZM/
wrP/Ol6wGFJQYSxBI1A1bA20wK8PZzXLmDoEcX5qFwv+OO8MMVwNdbN5vwp4GQP+VWb8uA5KUjyo
Gsv+bRHQmnOWBCHnyjQ9NkL9xK50aQH6Y7us0Z3Y/ABTuu3HkmCnZNuoIT4ulZ5/vmenOhigDmM7
uQr97lqA5NPCbt3ZLUFY/veiE/jXWQL6bJ2EHFCu/ezp/KaA+e03RDfUVBC/Yrx9I381sq6IWjvJ
T0OGHn+6leNsHRZ/puL8o+DLXnosv3w/Nupf8PhgdPiOuNF//R2aLkHdlHT9qQxCuJdC32kFG4Ps
oxcgTh71qdTfS2VaXBES6ky2vBusQV8VU8lGpTGIiDMGyHN31YWafcORed0ViNPBR7JKBh7lKjZS
owhOkRRdjL7Bd66ybkQGhWziVH1tKOljgm1MSYPImweIl40i3BD5jpu02lepVjdLoxSyY4Ucn/7y
uqg0L4aWBaWLSKopFLtqVr9HOjhujAXdYs4dzfQ4zWaPkGaStrIyxEc5BEI2j11I3dRi2rJhdylR
8NnvlOy2Gsh9spXgYGRLUpMo2y2uELcveMQpuOmnGD5TKatn5mY5oUvoqBQtPfjyY0e2C5pQ9sUH
S2KsYw7Kdor1h5T4djcHvAonCDI8kttZp/QYWWYO6qLCGaVsC4AMJ4QyXnRy/5iQavMVQL4nY6cC
SBQeOdKiKWmqTaQ1NgzJ8ToTIj3ZnbJSxDzuK7M5vn/PkfL4m/uBBWlxO1gActQ3PTmiMgtywwy6
54r6qNlN5sxln54EsEpEb+GXoDHApzFoUwROuwhEFzvqkW8FFVGYmFs1aI4t+KphVo9GYd1reh5u
msyoNl0n4zk1VBhZSLNWWE8sVy50cmh4qDt4SclJqCXqETYiOStyUmGqG7gFYG7Dhsj4oWtWLfOg
nMOpyOavdSEebbIm171SEC2TEQOnTtTOtLU1RIOigGdKt4xk8UHcx5ZgsqZ+E+a46KzYBuwUG994
C1/1YPb1uiq0G7x43CFYISf1xujBlcXhTRUZ15lpe2Jq7y28KPi+C9kVVUctCH2j6YaePL8GN1Ms
ObT7eXII6VHinliXtvagaNK9EvYVMjbA76EpQ9CXRiixBWqz2pPpnRBqRPPCXPE0cvSEVDbLGvYm
cu+BnhCP+RKPb3urMXKwrZEgsulRG+SvlVY/5qZwwcsdE4aPSZ+cC/SWZi42Q6FjSiQhLoJTrNrR
VVJKyW6yZjBhkytS38lKChrSHDiXsBh7yb4aqvY5MiWf0Z681jsYvC0CKCaqjoqZT1HEQTSaF9Ga
wS0YZC4qmPWwVKhJh15awSStDHcFXOBAIkIi1HEoFxs1kfYZT/FwoPegpAwMmw0q79ze6Xh/F5Va
6g8bEkHcvM5KRD8VGXIMOEAR7mcwfaaNunBQYPA3MpvuDFIypvNlQCrEaLQN8nYfDNUhtwyq3jaV
zmk5lPiPzQs9gGCH8RvPJf5orYzA2spoBsvhKDWcElKoABqsCfqUhCIBYycObqCOOaE5FTiR9a1v
9nelTNZaJh+FgQxw9PVDHA7IlHyfPCMVpmMDOBkfgJ97Qz87JXXDtpiAcxANsK17qhCzWNQVPjIO
v1Y+eLR9sFK1N3MuNbSn2C6T7gQaEvn7Ef/qeuwzsknOSX1UOLG8vze8UcMgOjbxYv3cGbQ3T1IV
LienC3aGoviumN/6kdbgIQ/uB337/oUWWsTfnkkMLXQVLqpp6guW/PXBfWjavorlfjzNCrRMBKLN
YjW8NZqg2IWFxD1HMGZZRjKxIbJytCo4IyLGawHnFtQVf3fdKNIzA4erMdcgDWrdZ/KfzoVs3qSU
b5x60NKqi9lpdHJcIVkbfSFC9E4K0/I66LBvGWHYemgI9wYuCwoLd1LkYU2J5+WtZt7Zqn1TzqlD
J+Wi09pdpKl7SKg7o7TPQxLsax7bppTsExX8MgMEKbTWY6ncZWUNO8XfDaWyilN0xK2RPc7yBGh6
CB6q0a7v1MBvXbXRgg++1V/7LRRC/Hyvv9Q3YqZE6HlU+9Z4ssYv4fw0WX9GMv1jJfHR33/z4JAl
BhQiSKZTZN2UMSRL7dMHt8X7d4V4c/9lIkvkBFrhyVAvI0whfE0yTdj3L/JGGfW/3xICOUpSxbDE
m1tvNJsBuzyfApql2n5th4ya5FM0mh/8Guqv9/gypTY0xmzKItahNH0JTH/V/priKB+CuVRPlDFf
eag5t+nGdyS3X0Xru1W+utuJdX94uo7W4efRfUzd6YkV3Ww/ytdYYHh/W2yvlvXLG331RmxkMqUd
sI20G8A/a9kdbzovuwo3tothpd4oHt/zhiHBitmQCym7d/VT/vX9r/3FVvC2DH19d74VwPlNaqk1
3/v9uFNdePob+9JcnUnoCR3vzlgfhJN59incjNv8xtjeYlP3xi373mr2CgBDDq0zx3akQ7fNveYc
rsAAB85nouFOBOl5xs7eFXukSJ+yzc37b33xwv3tC3z91t9U0JLaRGkpRdyXK8BNm+Z7uSlvFQep
i+M7oRO5+Sa7KLzLrwe32+H2HtfxBSKbC4Csax4+Lp6ub/768/vvSv21+fm35S7ePB3Q2va1KXhX
4Q6BwnreZp5/C2kzgRq2YjC5qtfTigi8U7VVv9BIc9+//rJO/v57/rWO3uw2bDXw5MtpPMlz4ZrD
sJ+lBMoDHor3r7PsKu9d582uwwxM6/s5JbIRX3I/fJXH7SCeJs2tZAjB5eb9q/3+p/75qd4eJiUY
LppRxd0pNKHI+ddlcPX/d4E3Zz5ttFIhcNKeEmOvxvQBbdN5/wof/DAv6plXy538WSs3JxZagZo+
Szalej8DWH7/Ih99T2920UZJm7gn0gi/3BJamK7tMf5go/7oc7y5wbpibrq8Iatz6Md1JE5ZMq4J
ln//c3xwd5lvdiXhB9JEc46nwQgc2YbcmrZnTevWJiaeeFBPffC/duV/fIz+9nMxeUNYhZ/MXiBb
r2sfC/KWX0Ztd9KBTMSbRAtp8nnvf6zf/jyvrvFm0aQBru4q1MeTQYSyJF9l2QddhY8u8GZLnJNs
xAdU9SeZTZtmNEKhD+6wl+fjewt/eay9uo9DUk9UP+U+5mywIrjiot8mR44I6wvGsW5w7lbZ/v1v
7U0u/Y8t9efqf/Erv7qkQv9PadWQZ9Q9jeGcXRVl5gqO+KNymHf96pIEZf5hZbhwaVbWlbS6bt3l
qX75UF1qF5zaw1VMbPhqC8nb++jt/fZBjuz3Z+ny9s6J6kFWfBadcl4e5NKq8VJ9lyvrVeLpzl2+
upBX0/5ZfuJwVn+a9riuPti9yIF8fzd+87v3UiPCiizFU+v0DoDHeaWKlb1PnWv7JA6a1zkP6sZf
5XRsN2hSPPwkH+zQH72Ft+o/7D+SjjyvPUl7kkQcOpvxN2OjOOa++z5uSzc7mB52lOfgQVuPXnIO
nPj7B/fJ7x+9P3+Itw6LBPmODkFuOpHqs0GcvIqWqm6XrG/7HaxSKEWr+QSU4Y5gVSfblJ55CVPD
6dxwB6r7y/9GXP3jjvJyMPvbUvlrub/lqloS3CSOyt2pcnVPeCJ1xs28mQ/EyK6+Bjt/A/pxV25p
6h3GtfnJBcTCT9R6yeYmIowLtLX78g39p6xdzuA/W7zOI4P673kbtdPpMfv+f//PZdplj83fZ/bL
q15J9mQboK7+guEVizPj58weyR5jeXJdsQW8oKZ/zOyxGS8jfoVZuvHDnPxjZm//wSxf5bTBOAeg
g2n8K8ney/L5617i2MK4nrER7wJaMOTr5d5/tQfqzD+BSk/K2UjB2G7hjaqrioyjY4zxT18UsOF8
5zc+o7w29QhOupMi+spZSFRSEXhMjrADJuOnui1DVyvqK8jznq3L+w6tjchGuHGNM3dbgHcPRYB3
lhwoKzgriJ+ORdRYa3p0CHUV2FJJIxCnMA5NF6np1NGX1H3rAR526loERpD90z6g39oOqkZL0Ogv
o6GlMMyliH+X93MPbk3VsBrK5DR0Zvo5lzq8c7X8PSqbZxqY3ywJSVLR4ams1fEms0bUgqP+AGDr
rp51scJ959BZtNb9TAKDmKa9hPNBKBP20JytZ2SSahqg0ka/eTZ8wjP6ufla9wrjJaA1sRqhAfR1
1cnCmpzwQvsqJ/fGdBk2YmEX0gEd6i0wixBoI4AJ6IiTvjYSlFOrPNS01inBau/qRmvtRyXS6TNF
I0DkMO+B1Yx5sgUiVbnM8LpVq4+lK/sAkGTZHl0UBumG7GnSG1W082sR1cwygqG9gq+D0n9O66se
H5zXlbB8SuItVyqy6VVT6xwDq5hZdp4wvqzEfTHXhFV3AG71WrdAWwH0apfIEOQCmevbvuEJc5iu
uDcJNOhi2YnpmYaFIDohBZrmJ3p09A2ZhifKqoswwBg81qQS5HraNU4F+5z+ieZ7StI9qzaiPWCQ
3bpCnbWl1/rUt/x8Kl4Ct+9TjfxS5rAR2JotpvzvtlQwEqiGgV48t2q9KNFkPL8YL9JLSwtIXUBd
uUqkKXJtBReEnmrEq/SN4Vlh9T0bFdszphSPSi0hSJ2L4IJvjocKKd+P1tJbVKdI3vqyzncjA8/K
sS/gIG8TNA8mp4QMCvtTOeWM5hqCBZqlVYyjsd4PZjHQvezQcIdAb0rKQa9sRery4+kMQYxnJhrI
IqbwGVmp5kHtkyA9zhnDD7sE3QU05UnO4F+Qh4HkM4tMwidqAc5Z710U7gqQIcghTpx36RNrLrio
Y1XeDnOSt24YW7TKRs0aN3Zv1PFzileSHq2iXhUKPV5sig2ujlmu9zRPEUCMt6mkkFQmk+Cba3YC
Nqr6PEmY0eWZGL3FGek24bg2+uZBCqq7lHzcFeSLwQ3JCsLGxrEzlnGqm1P8mWy+y5jx8BeCs8yV
ShLrYeoswi+w10O0u0JqQZdXQKEvcrPa4Sf/DkHrSyf7qG6tkMRY6XmI2wahSPSgoe9I9fR+xBnk
aY3EoDarl03EPvJVMLC1nwvWqdRxX7SZdQuB67JSwouSaSGU0OIEDuGrKuy7PpVGIJbjZTvX1s6q
6y2HjJtmtj9VofBduSVbsOrwg4N4XkV+NHka0Q3rOB91usT5foCdVFvhdSDXxsoMfAYJDK32hjwD
PYqpE3Mi0Qry5kz/bGk0omHPOBNIfVYKbGcg0spqitIcEKUdPcVWnn8RSYtURusjnFEd0bSVrV8I
0BUrnfEGkhk0Fw1Di0zGzo/+77IYpBvRNIMXY7y5CHJqzrEIoHlPg8VbQq83Sa3YlCN7kl8MwVWG
nYMRfiNddcvimWXQCvVy0XaxR8R+ZHtyU0bXaVCXjqU2FDIM47wmJjNeMkbbK3Vlcuc4tFjaQcoO
Y07e2E2x6xPk4iB61l17RgktauOZ0czsJPq8m9r4LOfVPtPig9GNmctEQ/W0QUtdTS4pSPTF82Ua
spf6RCfCkCu2qhgNgJHGKgrTee1Hkeqp2shWT1THNsxYteqAKCrNtQCY7YIFLdml5MUGMdBquzKY
s2/DnsldFyvCIwWIajzDa18FLY2YLMU8T5rBn+eU/0odhTPfP5c6+ygPflPpLC/6UemgTmT/MnAL
KQJgqs0//ax08C1ARRdUQYv/gCPyD3GiwLXA/0y0A/RmF6fQT/sj/iJKbqjQ+ClNzJP/Cj71Mvb+
pc6hBuPvkeqhk3kv62+Ol4qvtWQFmsYpnCWt/gRTOUXVmk+Z4oShROCnBTMpOjZWot2XAFFgRA3p
lSxpaxtgawZocmyjdWvKPkNrSzTVLitqTkRmT7pUZzRYfhqiOLjjhxCQQTEnVwXU6BJ6NElEX8YB
4RqChtMk8srRF9T0vADWgyp84qHD824BUuMSDVeTLK1HWNWQSxLUwclEmdDchIp/X76QrQs5BtqZ
vhCvk7RACrVgsNnzgeA6IX9VrIsOePxRlyaxnci7ipBXERSVDmx5JNj7eV8+McX/EvTw61uR+Wul
zDdEAAzrIou3VSxtowgkxFjnTzIKYC9FQsK4O/sUBdJX9Vjm07HQScuitwENZIarkPq3SmVdZYxS
7an34vlKacWnoW/uEHK5OnhV+8/J9n8LUaPz9c8LEbnw/2yYBH+Nmq+/CStcXvxjQarqH0CFTEsH
AMT6+cUtpGFIXo4eaHIE5wxOJT9WpEnir40c2P7rVT+OHtgEycVZZATQ3/Ho/yu3ECv7VaOXgweX
1+Es8R9/lNLt14OHkcqyFfv1fJ7bu8rywXq0H7SUlr/w15K3DJm/ih/JFLpqq1xieQevjjZz6Yty
LDXl3IwS6tuNkUaUa98gSrz6AS7//IuvwQW/fpK/X2fpAL66TiEpJYGkBkeoJXKnPgzmt/cvsGyQ
736SN52ggBJY/X/snVmP3Ejanf+K4XsK3BfAnwEnmXtm7aVabggtVcF9J4Pkr/fDUmtaqu6RPPZn
wAbmpqc11aWsyiSDEec95znYcbRLfSQrbd477ICUyfcUYJjDmrOl3w5PFVXI8VVXhistfkmijRBX
enndFbdCLhnpo03NoIuZVZjXfXIrYXKMXv6bt0J7Jxj95T3nwvrxvTBiJexks7wXxjrkLFBXDz2d
cTiQLmW4nI1S8DqvDlztmn8Fker/+q16q1t//6HDPLbAc6lgUN/GKD98GAWAh25QnekSjhQeAQ3g
3ik1dUIymMVrQhEg9fp9Qi9eM7Yrq5c3WiZttnLkkAdVmXGYEHzRKww8cKUXb2THjj7LH/XcOFBq
1gKPVRLtfjTyZGukHkbd0MU+liRrQtL7igOnPtQbrZuCoZu20Xw52PE6F4gxZKN7e942o3eV61fh
nGzC/rENs5Vo71rhno0uA9oHArXgBwD6a2CFcTAMTYBZU+uurNjG22yG5hpgOrTVXutPjpqvF4dE
/dhi3Z4UY1XLAuemeU1/SjLm24E6y/vcykAk4lcpvbuOGDhVMKtk2TlZsTADM67dQHXZ2JVp9tQx
js/zuSEhFbYBhW+/kZLfbAx/fkJ/ufHNd7eLjD3ofGM7X6pbYxfu51P3YGzdfXOJN+bU7fD4rN3A
87HYI/0eaE0Jxidln266rbq1qbVPfmORWm6eP3+ev96+73YGJnA+J18u2TLdYzXHqU53c72p1d8s
R8ul/6vXebfg0ckwZ1HE60Diyu7Gr7Xw495HK7DD39wE74IS336lH2+Cd5N1+EtZY3ixfhkZfnKV
jkE/+oSmZUtizheX8ne/2t+tgJrBGsvs23PRpn6+65nkj46TGfol4ElIy58H5erXt/XfLYA/vsC7
9w7ssVMMQtcv2yFYdCGp+C2+r/+zF3m3ynqjZ8+Ty4t4w3GuKZO90+3nX7/E3z2Sfvw93i2PE8/q
psEyd7nY3MYM7ca+8ZILj+H22wv9Z++OzjGuurZ87f7b8jd/KcEKxyLq/vvPf2y//Vm8lIsE+tMf
wB4jh173EEpvXlp8a9+D/st/+b/6xT9E1bupQlT99DWH3hG3XRN/6Xi8fBNc91//47/+gWrhPf3n
26PTp7Z9+TvcAd/1fV/EQcWj3czmgtXNd5hc7YOx/N/fd0a8/h/7IqCQyLFLXY4KNhJoGvfU932R
94E0ls3fyAGW4wwWy+/vwtW3BYA38J+q+2S1f1ooWCAtLhFMUjy8THYtb47OHx5hQ++NCkcQeTmx
8XfW0RAmUM8cSNdiiiMQ3OGxm1PSQRN+3vSj1muYUZk+xt2+mvFQjYM9p6cWuNa8Tka9o2FQVkW5
6BWGbX1ZZBV4KVUTzutONDGY7bHZjW8tg95b4+DUttAQyTHRRBhO8+wF2beKwuitr7C2hT6TZHkr
M5x5tOOI68WorXNdNPMaJRz8bQi0PMBxqG17NaVTthmEad1nGq3JGxLWe6gMlEEVZGJ2lTJMu9GY
+uRVLvqVeJOyhKDGbU1ztbqLFq1LCV1Ur0X/8t6ksKmahrWSoY8Ni1LmRRz/1ZwwNych6/OwyHLz
oq3Rx4bMZtXCRPeLXm2pmEid7mtSIBB0Oc5Hp+JrlZIQdRl41o+LjhcJmPiuNmAujnN9BZOGrO6i
/BG1J3T0JgfmizLYLBphv6ButEU3dBuTYNGiJWqLqmgv+mK1KI3mojlmi/roVsVL6pAfMRZlknCN
uW3LLl6rb7qlcDDMWn12lS6qJvIQcCJ0zryu5dpdtE/hGi/RooZy4OOyWEQedheUDpXCYTlRPleL
jmrPWc/mB201appXR+Jzqxbd1cmToQ3kosZmne5syzJvD96i1epKlJz5mfOVWJTcFEk3XrRdfVF5
rUXv9RblVy4acLuowRQjUfSwKMSyR6guFtU4d43HbNGRxaIoN4u2HEq6N8pFb+4W5blfNGh6l+pr
4ImIWYtC7Sxa9TxpNeDPRcFuSz3bUIaJqj2QvGsXpXvUnJ6sGkWz4aKDaxmgdagZf2xg/7PXze1L
uYyA2p/Xyf+nl00eqb9aNtOXv1lq+Z7viyaHSYZDML1ZBUGwLDPJf6g7xgfUHmQag4McKCi+9P0w
ybDKZRlzuEgMT31Tfr4vmu4He1kvHQ6m6DFsGv6VRdN4N8tfdpVvB0mDwyk7f8ZqP29B4DpBI6kL
6zIdMnGkHq8Ob8cxLXBC6XG6leaSsHaovsZbGtArnO3NBu7oErLapSGo1Jz89VlKFUpUkrnqZtE8
Cd0R1zaovnAtxGaZoOqmBAYVL7HOzhzWkF1UvOuC25KKJ292XyzuLwLz9IwxB5ohYkfiWIzyyHKz
UVzWE5A0/U03tGCRRvs5G71i1SYRsUSqJjK13M3wMqUubmqN9LbKOCxodeCeRd7sulm78Frvhdqx
69hwL8ld7XmU3dJctVXK9lERbnUswvJYR96+icx4T6z0MUMNdZXoNtetexG744pNHDmn1KhutVY8
6aq9N9xqnajhEw05n5ZzJi0JNf67bpBbusj4mU0Hzyyg1KahpcIpvWNtQExNGx2CeHZR0wpBDYc4
17n5CfbAZUdjereYeL2u9OdS0ggYVofcSR0/L7ud5XHewEvgUVO68uaC+YwOuZejOom26TCHyqPb
RNeTNEM6GJN9L4AAkI2Y0ZYQ19ylvUgLMXxLVGRZP6WQedKSphjLaOaNmJCTRRV9aXNiABNTgaDQ
pq1NXAWjjLHNXf2iqNh3yy7Dzdc0H6swMlnJXnt7Und2antMW2pgYZYdQFN4VcaW1gbPu6yX4lsy
boU/OPWd27hUp5E6SK3mOhPtzhtYxsyh9JOucnxLUEw6qmJ6ngqoDML86litseTwPAAV85PZVAfq
255Hdb6uIWIOjfYkKxp9mi56RWXHsy5TmrpbaiedaZe2o0f/jYZNqZcvo0tyl0gl7KxKbBK9/0L3
plwZlrFxhvTLBE6J6Uyz9MPHdvt5YAR9Gi0Llle+sMk7ONFZIBdiOb8/VWbTgjEPrRik+QCbH7um
61BqlrMaBETSob/CR8hW6fKOz2DUecR1ECe6eOMpjCQZ+ZFzpHYv2k2DejlzM1xPbuJsU8Wl3Nts
mR1K/WAYieHT/LIyar5njivlMhEEk51RLdcGV9uKwzeZmlSbQK0b8bgHhWvx7C7jg+uO89YZLLmm
gacjJCSZBQzDhqTgF1cVlzQrQfLUtbPR14BKPO+atgERtFlyUdsVCW/tQbrWdNtoSvpElSjH+Jri
bwPKmBY21drtuCAb20gpO8GFanbInwVBIWPZA4C94brRSTg7hQrPURKvohFsPQqsqo4ynVOdOioP
iG9fN7QrZdBt9bj93PQLOoJ9zsCOp7AZ+BCKPiguJnNNZC7RzURj0lk0z7oDcdmiQHDdi8FecSRH
U4gcioroDN0Q16LjrptJiWj6Y5Ln4QZkjFzLRrrbYiZem6bkjMqcfvVWSdTtQEcC2dXl8w1tUlJm
eKy9aJtJeRFzR/ly7g9UqF5Hkt9aVfDTiPKoTeRBclzYpUeBSTI3JNo9bO6RQ5TU7fmEMP5VLSfx
JJo2eYGn2IpJYSa0ltH0dnRFzxkTeEtspU/q0Gx7pb2d02FYZVkD/Vs260JLz23fiM3UM3ujG2ob
VtXO7ttXYYRRYPHwgNSSccMC39UJHOd3eZtkJy8argreUaLhtNfnJakzQamulXQPCOobaVb4DdyX
sdQ1kMb5oUvluBbauEUcvP2/crL6/3CHwHn3FzuEsv0v/6MQL9lL+zcbBb71+0ZBQyVmh8DzlKQj
qitf+r5RoG/UMwFUmQ5AfqTpP09XhvkBFj42FJdpCnfTkiD5vlHQ3zhzHLwsdGnX+tdU55+FhGW7
QdnJsn9xHKJwjrp8/YezVcIU3JUFR+4+X8+Mi8Noa9YPP7wxf5zoftSDIfm+O8EtrwJmkyA3mRfu
Zt6DH1+lDtlfWDPsq65M4iwoXRVJz6Pkww8NPV0nRtv4JYv0yRFu4fdVlPjZHB4HnqM3ahVdZ7G7
1a0oPklVZROgKZavuT20bi3G0C+wldGU3Q/ROR68XdVrJ3WW1+2kn+u5PI6NcRk34qAmKYPkgcaL
RK29jbMcQMKe4XKse1+1EU65nRJETbp05AbtX2NSmVR+2tjXG7otPBZ1+qMdhYY7ekntg1RmLOdy
dIJOaYneewRvxn7mXJl2BfBQ3fwYEg7eOpllPOs5tagKgtE2VtOI+GdfV9majHRKpkwD/ezS3wkz
ghq+PUH7DlnbIHM7tRP3LE2CC6ErwlhhVIb7cdZrG+i/nm0bZbatrVZKjDo+LdeqU/u9lXdTuFJH
S7l0a1058/dXQRuXmEBgh5eUe7ssG4Hd83D1Fm5g47jxzsjM9NCPte1e8Xqt8WxNAouEPpVDyUHb
uClBc41XkUb3Sy0m7+g1tnOALy+eVFszHwYnAkOYTbAqu6I39zSaWw0JfUvOMLIGtidQhrz7snTp
ewXCt1Z6+jH1aoyIkBNNqwXxokG3BuKfvbPueM9PtOq1n1p2jONE79I0uvrKq+O9oufaGn8x40Jg
EzeUBRwSdaIfvNS8GzFZGtgJyj3dyYs2ZZVTCpaawVDikazjBze3hhMf3RDYdTyvm445YwsUhq3r
GB/smbi9w7NvS9xO8wuPlumWvDTeobrd2sawk2YB1n7U22vCuRpn0PwcF9mZmj9iEE18bZbW3o16
shF2tivjIg2EoV61nrwl6j/cAzt3X2lYYJObBrYc7dcy7gMrR1oOa+1OVfqNsDv4EWW69pR8k7o8
ekYewWR2v7Zt90Ly4GWCHcVUciG2HTy4KSwg+CfmrTmq58kdAsPrdnAoTzMFAqIZPqtWz15U2WRS
Y19HILyfvlAAw8n2S6j2WiDtzOCcL/ghrOHJsuPP2Wyba7ulF5ttCE4IOZ/0XN8bQj/bVR/ghnqq
+PjazuDh5DrrcLA3Qnd3vTo/4QVbizxkpKHWK4OG0RUWJHWfWNTWaBNPNce54ne8gWdA1DieBZtO
CBbmoMbnyISjBBnlusuK9kxm8yj0kYuZ2s+sHkl3hJye3Xw6etxEKqFSndD2SDepWxkncywflJm2
ecu57XVxXdTVyeHPAzibvB+uI48tr16t9ZByXiFGrE0pMbVIkkBtytIXjXqRKulzmWrPQMgOcZse
ywzIS69dz1ILMmoVS1L2FNL7dVZPx9lxUGs4EIDM+FITDu49K/AatlfROK6mWR7ccp5IbxfFgZrb
r/kUOli9iiyYRFZABTDSbe1VWxLhys08KfXm1ysvaby/rrxAiN7KW5hS8r8/r7zRpOXthM/ooqxT
fT1k3rR2hikNcgpoT11uyMAZ6PwsoxxdZX5hctde13Wq3rmzm63Kcbzpm+SkjmGQes6DOnZ40+zX
Ik0E3DIyoyIBf8YxYVPOXNNZyGgrtFofXgt1s/WgB47b7Sjm+0xZce/HSftRB7y8BmFv+JpKn0RW
+LJGvN5rVco2m6SpljRb3RyuMr3ctrnzdcryW5pMDj2llXObHeqeBqGqPAGB8badnOhhm+KdPkYW
U7/Yt0MK3SIz2QqefkGrtjfm1Gt+FdkHNfK4rwGK0mqiQUlrxnuAKebKsznH6JN+acZz4de2DWo5
Ts9DNV9EbbJPpbW1qFwI4qzeh0VKUt2lHDR3wbyAl7FEdcoE/aBOoV/GmYQRmO94rlFuUtG3W07t
pkyayzTJbuDVs5cuhiywMWn6RoUc1DRXsYGMn8+cfBvwYuZkQjoe40/wK4/xwMU0coG6nOSAlC39
qFutIlVvak9JPgW5YdMyZe4k65DRll9LzzmptQqbyVO+hqToV5Ver9hR4ifNcm2vVMta1p1ix37U
VSySKl5OGhyfplzX/KSd0jUe2EtjtrSADrKl/jpxd1Ss9h9Lw5BHjBDNOUPr2v/6Uv15ZPK2EbFp
n6BincZdogjvtgjsruXYoFxehCBtjOTQEKP/9Sss3vwf5k0LkAMheUkjLiECdwH+/rgJMWyY3q4n
xEVmg5GzL+M+3sXVTSMB0DUZEZt64yXrX7/mt/nqr151+b1/2GD1VdpVpqEoZ3Ui16frqC78C0/F
R/TfCRhlQVTXtYAjGfuhp5Z9GCn7ygrIEqoel37RzI+l4pzizmSqnUebzJPaZzcynSBXk3vbzWVA
KPXoZOaTHabjQcsMu+dqKsp1PzvF2q0U8F8V1RZOMU37fnSMz2WR4B5GDV7HcfyFQVVDnMyOAlbg
KcBtqvqI7rdQfGZOrOk9RzB9nwv6kabuK6ebHQ+lu7ZpNnYr2xX0x52hRgqKCTuUTBbFdpp71a/p
yw0aaSGyxuONHhVAwuPBrw1hr2hvPHLRA7CRWEareN+Yyg59426ckwdTTQ9WV3LyX+rJ4tDIUBBi
amF7a5/OyRGJIyimUA8MPBM8YFJWWfVhUOFPxUkO22vcFg1si3DmClaBbAi4IqjvZZK7uC8TN2iy
8FwB6REgN7XSnn1XjLeRDSlgrJS7vqOtHfOx6s9Ot8UhDaO9Lz/Zoj43an5dQ0xuurFbtdphsGi6
HCxj53BKDipNuy+maDeGFC0PTX9R2TwjsfTtUX5f3FrtsfVBK7LMrajMkyN/l4R4a8j61dW2bMR/
uNqkyRYDCqNyTk7FlbhQNvWx/ii3wGd29snl0eN/0eWK0/a5eJa/iQ+9kTP++uILhcaGaQ6g+ucX
B5nsFinNcecqwEJ70v1q09ONd1QenI26Vu8vFf/0MKwZiQ6f+Ed2MZ3U1SHehBcgZH+XFvr5wccC
wt1ugN+zaBjgGPU+EzKpErFGS6KLSL2iDXEVqw/Nv2h0+ctrvBsrz03eK1GURTxcX0Sz86brX68e
f/s7OIi3eJYMGk3efZr5aM+oSTUPb+Wq9rgfLPac31aofwv8FivtPz++f2SM2v8dX3L5tn8c3dHk
DV3nUlI1ZPkfsyrMTC1oEWypmEdioeRa/67xmx88FaGWk70HTRLu+59Hd+MDIRUdD6fBwfvtS+8G
ob8ajP58daDwL7EXjQw/95qFjfPd7TaqihiapugvQKb7dQN1BlkxdvPfPDbxwXHf/nlfv72QBcbS
1BZGEzPY5Qf5YVHRMmgVdmJWF7QpeffQGXGg5wywONdx4zW+8Xbew+053yY6qA7AA+YDyoJ4qsoE
X9FyWNScvCJl8XaC5CxpvJ0q7bcTJuXinDaHt5OnDGs0zESD70JZUcyJXMkwUWStto6riqKvUmY9
PBpFAPuL27B4jNPJW1vu3FD5WXyxMlNeOAuv3ezVCuZSlWYIxyFtptnQr5RsIVc6sSyNS/WNaDlk
yWWDOgbOGrpI5CGAqi8WGMyiFpsQLKYDQrKQxtZaeJm6ym/BA2HtmSiO+doa8304TTWQQsjcLcRN
GrteIyzyMyRODSJnbwy32YKToZYseaI+s2Vcm/Znxamai7q17EMWe+eKOvX1POuYRRTFeDWTttiZ
YaReFF1Nom9gsBLTDr/W5eKK8i7aAsjurHPSE/Gsb7vCuZ805RH0B9VuSYQa2HWCWUJvoEkIAJRr
3VUJBZnLX9HpdJ3YzT1FclSA224R3bRiUNa9ozVrb1THRzMjVu+YwDWB+9FkZyrNFCTWfFPbnXuI
FE37TT2U/n73x7VsUhWDT83k5uCy/vkSq6eG4//oNhftOv8kaV+9nW85KZF77XYFVGwgCWINc3KN
ZMrjy9wYazDA/m8dL+88ScuKzmKLG8JanHuau1gRfrjUUXxkL9qovAh1cUAgGv0UYCA8JRNimsP4
oR5CY9PoNvv/0FXPwmnCg8ZnZKd17k8OQepQhRquz8/dWHqbVg+hmnbVJnTnZ8cCpZaETN9hID9A
+Ob02tST72CWDkbgTSstwrRmReOa0MRWatSkhbNfm7hBZ8tjEsYgSte30NS0Vd1xjo89Ald5sUtG
MygNE1SVWq2lFCc9ZPqfFrEWLOeHPKf4lZv4Qo7Me2oBeAj8yr1geKEZ+bkfXRWuckWHAhea49UQ
v9Tkm0z8T20cPy8if2SLcYWwXtKbQSfTz++sN+vSq/KwuVAHjIIsBOjZDW2+nJ7XVhmTA6p/x5f7
+8DwD6/57tNUxsFphlS0F7Uwnqyw8cdelMHcOjsz789lzdFV2HA6nRqMUgae3DKLCdEEhJqrWKcy
dh/VuKXpvVVeCXFtMByCLLOv1XD+Yon6OZcgvWpUhm87qX8/k5f7/p8/k89l8TcO7uV7/vFAdj6Q
DOWxZ+kmI7olHfEPLd37YNPzsHhccR69mYi+P5DdDw57J4buaO08eRcF/ruW7rxVVLnQAf83HNyM
97mIf3pSUk9lUiqrk+twmAO+O2K2M+en3urhthrFfKoxXZGXL8nZmYEyimGeV3PYc/5WKBPJArcL
nfI8qTnw9Z4W7VXUWWp2dvtYheGuC15DwAWbFBNGIU2P3logVhbQfaWVjSsJwV08yD5XqmBWBYWs
qxR1utq3ZgOkntSbPeJsduhyjJRSbCDbK34/Fg+62qM9mMaO54a7atuhW9UDigH4eJCjQmnx4cKD
LvRzUxDXIwKB60m9KSam/ZpGFqwMqyNMzWNRhydNjh8BoSxEQpzWVZUTqNxnuQgJWzLoi+0k9lOn
wy00OpLtCbPSPpxRQUb6uR3vSlN5LmcMPZW+BVzHjHHFhhhcXs7OoZi+6mM3BnE/PHajRfZRZLRX
qVZAmO+qLYtpI+0BAaT3OFoNdecbzjwGKSlDBurFvJ4skmpUdKxRQHmE9VoNAm34qpjjMVNi4LsN
q0Ieal/HkY5OYisbZgM7uHyZT3/UKXGp+l4m4owJqMmp5QmcZO8P8aBTmGrcKqa6qZ2eyH8awpjP
yXo2YbU3I3ZBo1leJHp5g1HJD53qCCbYjyj0gwtIZN6p13B/P5tTxZAXLl5nqKshS4mx0LxN7dTB
5KHdVAQ/0cCZzXZjsmqyMt24k6PQFEArqkIxaJot6hxqtSbEQ1+gJaSlF2+NCcCrYour0eFBZXrw
7eruMFC4gSbbPAhY3asZAss0abedGNf2mA2ozFTnFMmNKIZTbBlBCix1ZdtzvA4JiK4qUwl3TRpG
vophWwU7t3Zr46XMtHanVcRurKK8sDTKuCI6LwsjvXfgFufEAjFqXypRVfmOl8JtzryE1s5kk2T5
R+m4AH+ZEKvGk1oBjXQSazvI7HZMrX0h6mllhxGjUhdxbwK5woWuR5DR2GkZ3owTTsqHwtENksbd
wxjKj5rZ3pkt9EWcd9si8i6T1qJtgOSl1X0eHez+LZWKfu+kFJulGqMoLYem2N+GyZyuykTrGcqI
vWhNQcl8fYNB/Sl1xXNt4XkYYywwXhIv9GBT8021vx9ilep0Ar5BaUcHRSkPquN9KmYXmpSoQWyV
2i2C1CZuzLuqVUFdl1eSbgLwvcat6ahu4FIpvTJodxSReY6dSvHpXdqMcfaAy6TYYtX4lIt53GHq
2PVDA88kcj2/UNIiMPKsZHdRPCVFPfD+MOLJxtk9euqEY1xTt0Kdm1Nsp5tcOlykemauGTiSVVTk
JmunS00zXxq6GVdlQ5eD49zzTIwOTU5M0dbGlzT2bhITM6FNKR6gRuLk7Ty9Sp7gK6LIRRAK3fQZ
K7qMwReF3kG1CrP+FiGKS4ehI9YFpeQCiCe/nkrLN8tol4rxkx11ABjsoliPtnfurfpMBPgl7UYj
KEd8iICyuKA6Z8MB+LWR5lGU8W6ay6fCEfoaBsfeMZgZVaN2VJt62LijMgR6b9+Yo27uBTZGUHks
JZqenDWU/GmOtmQyjwxBr5OGBrws2UddfRtG9SvU9zYoZHOayvBygS9XLs0SBtv6lRoJmzkX614T
l9y5GR19Zb+ET8uHouzYukmPexYagBUyzZdMNfx4kB+9tutx9uGEHIqKvzxOn0ajM7gdx03a9+ri
CywJsOvMd6boQZcvsplIDlvMJYrJPEZ2/jROvKOa19/CIdCZr5Qf34wF5H8/6qb1EonOWk2po65o
Y9mrbfnF081njkGvg8bFUBX2XdXwgSEJ0bmddS1LRIGLP3euhiSFNs2mWhFSYdQ5XFhKesOvylgn
upwxcmwoJEcdGxR9NWcOoQrVCCJX3fclBbMYC8a9Ka1bvQofIwdJvcnil1y2Eji2RPCRc7F0z94D
Ep19eKSwUpF2vfbbwfTfu6Ql7vTLXVL3wojvr66D5fu+75RoxsLg5zn4gd82Sj/slGjGwjeApmHb
9h/G7e87JfuDp3nIEzRqIJ/9uU16i55SseEBx8BWyAv9C7oFOtz7bRI87KX30zUWCyUh2J/PAnmV
meXE4esiN+ZhQ4ccpxfVeXJIRpZO/6B39n06X4fkJvVaW+vkKPtO3IdLsHJaIpYVWcuazKV9Sshf
GjK9z5dAprZEMymC+Gx3uJWwHO4r0puqKFgo+nJjaQ32uSXiqavas7KEPrUl/mksQVCWuXAzkw2V
Mf6vUDSHQgItSIzoIbfKUzF5T7PS4RJ3G59d/6cpSa+9yPjU2NrjOEy6b3fjuaNlx5+ilAqjOjn2
PYK0BevsYVLd57ir4mOBTW+tSXx0apXc0yb9DN983ps5kBoszBvbnXdzrT8PbX7hFZj1bOeWbqsU
kkHtIYhbibzvo/jJjZWdVMuHtlHEwdErCrNMPy+GCy1hEgfOa5ziC7Pn7DhBkQ7j6GtZdZfsHusV
DUUXXiyNVRnre7PcJBiroqlkUH+76NvOpurSpxohYcWPuG3b2V51dBvAHwBObGEyThPdvQ/NcFVa
bbsbbG/hy4JsCJUTYDe5KztnQOZe2qeSm6oFq6uW88a0I/Y1Wbary+xro9Cc2ulttYoaddvYM03Q
Q381ud5OTXg8qSH8+KgwXro4Ng9ZwetltK7TYbbyHIqz5gmxRbVPQO+Dsk0+jXbordzeOTGkg5Dr
XeSVGdgJPu2SgnYpImaRTuBYeLk7c8Q6oVoDbjIWeDGXo2/LAZdUytQtc6hvxU6XY8WquNhiQARd
Pl95nfPJqpQ96N9u07e6H6oKuTZ9upYOQH9HY+xYG9gM4fGadXJTaOyZIz45pTLuLSSnOs+aNSdV
91Qr2j5zy3OVjM9DPn6M2vYzowgZaHIKg9m2eVzCEPGnho1JmnT7Yerokscn0sccVWeSGn4c5dd0
vxh+Ooy7XKMolW4U6gQmW9KPDvAEMnLiuK98Hseyqi7NJtqktrqFRK76OfsppkH6asqM24QKFEw0
x06T53LmZDJ3xSFsuxN86r2eYxHIaD8BZP05acXei8SWcCllW8x/ZBvfVr1yH5f2Xi3KQ8+Ig2Lb
fYr5UFGL56LN7lFFeFNneTINMBvUsfVDCgAjHa+zfNiOYXwyezsoZrmrvHKvNTx4JnNXi+ggTJVE
xWQcKwaqslWv1MjMNj1FK6HoHqXDnqU1Z7ZVtKz2UMlhoR8aT7+x4uqYxsMOwmnPb5gTbRyY66rN
WVTOJYiUL22MndMV+m1btg88Eo80+p77CKC0mG4KaiBWIOke0iza2DJ+EKmztUS5y+3Y3U9WsbUH
uRj1urMBw8LnvHltJmKPEHydKwONJGrtR32zx2H6qI4MeFw1ywJP728oUjn1pD5WmAYiQmH5Y98x
N0LNrKYuoA6Tw5lbnI3Mfp5d1B9FrjuPbVo8PBVNv2st9XVuoQ3ChVjPbfgYcwjmaDcrRX6jk0ny
M1dm+sYtLda+0TAONIFhb7Gzoyf6k+mle0L0ICM17xhF0aU5ZMdQTHKVlOIsQzNfx17xeYjhkihN
Bt/e29ald9Ew6vddih3yWkWDtbSPMSnLEYHXSJULaGy38/IRGq71ucI6WraC+K08akJ5GNXhkpL2
C5W8XWQ75bqZ5Cdd4RgUVwIDcc0OvOOzaDRrU/Sw8Ws3f67AFU0ex98ubnZpmWzpO5NBa2sfHVs9
1OA5oog6BXAeQ2xrvm7ewcVkijl/TjLndrY6cSqsutqrAnhlXpyVQg1XYU3l0Gw9a5W9dfRwZRrS
2iUdDhfZjPoO4hH3snhJ2SEyxC/VI0LeiYkAQqkGLV+Nja1TI6pyUVS+jky5soW6a3PSqjK+rTnq
T724C5t2VygcbUfpfqTDAihQeYf5+qGrI7ho5lW6VLCog0/hH+EPqm4ss7yUnbiL1bkNXHvYKQxc
u5nsZ2tTgKztGuHx1pCQpKp6RcHO9dDrtzAO4MprYBPcRqarQcNRbNjnFrCmvc5aRc/Wvazjj1Ye
dyz+tnPUC6LGuZstRHeb6AxImtilaCRFo4gdzlgNv9I0VTs2jFtHFB79EZa7yruhWM9KjDdioD1I
DMO4Gvr88wAGxbSLZMMTxuJshk29ooBlxPJs4WYPIyUOxqzjETN4wwEKNLFnZXotmnYPNx3X9MSY
20gabWXHo7u2suxhKIXOid1uAoch4gYevqOs8sRm0pqLk9S66rKote4x0ZyO8NLcKJveldZ1K/GS
0zeJMVlmpgt5jqnfupKQq2dNOUmjOSCAXuluujHHZO3o80eCEDeCcpu+1qnjNgpfz/DyFlr9GMr/
yd55LceNpFv3Vc4LQIGEz9tCWRaLRS+SNwiJouCBhDdP/y+wf7XMaLqjz7ntq4lpiSJZhcr8zN5r
24nvhsOmFiS09Om460D1I/NtP/fk1YnUe7YC89QPE5cMuTsQ8onfWqHeuFfIKNDGR584WR9BROyD
ITrr9vgWJOaRQCmU/8RP8iCVfqMB1JjtoxvnhDJmJhVyTjJPiqg5p0Xniq5BBa2dOjgnDDqytLxt
mxQ+Tj4fVOhc2mO8FzXarVQdiFuCOqan69hNoYsl5o0c8jsmz6jdJrQhRXFfsJBnNJEeaToPuq6d
4JX4lEI7Y6wObUD4UhodQrc6hqr96FjmMSvERW1y05oe4jP1SmO8SVISDAMqhclWmzmINjXdsF21
b3kkL7Wi8BseuhFxYSezV8fUUavJ4lDq8W1tEKhrxMRJMd8yc2cfjfpdk2rVqmXV4aOkxIUSblB/
bAMSTGUAjbyTDZJqsc8746n3LD9LxLi1sTOYSMspLZh7F1nF6Z4+ZaBKQ2T/q6E2CDBk3QyjB41L
8og5a2d687XeswJJW3E/DWJrJupjCcmBzhlli9bHX4K67H0i3btNG5lXg61fBaGJB6EldilRRDW4
wKjig4x1CUAASWo6v6nJvmqV4DcesvbSMXhYwnKwmSwx4YowWGyCyfHOpSgvCot5QuYRNN7qN5ml
XWbtOPtaaG6bBj9BYEdiVTc6RLPJebaHZLqTnDTrNBsvx9Hr1tpQfhwJW1aa82wYSbBVcfWkozrA
2dZt06bP/KLht/YCsZfL0VMtYv1SRvuwzhLfVulJsYFIQ20+E0l1VCIEfeVAha/qnE4R8Hw1VcXa
4v/BzF2LnkSKeFQ7fG8HZgZg59qOifhya9vW07hEhSQ6UgdM+9mqmlhypfFVOqQ+OUHRwY3m5hLP
hgNEyfxohFl4MdTBjWyyZz1W1n75uKOhRPsL+myb1r357EXtHe6TG+aI8aU0C5gv6hAq/d4IqWhK
W1/FQ8cgo1zreXpZhfquc1l0hHb+tfNKMliIPQ1N7z5ty4uYDj9lHNiTE7tpjPYJC92tHPE/FMq9
SkSIcyTZZq41YUFKHqtMPlujectSqjzaZlLgNXDIdGit5zmXB4koz0/0mBlMzz+sVWJbkuW6VoXV
75MsQ7hSKG7H0Mp1824UiUEbUddMa1HBWgajONPRNoaIIRv4P3R8v1FUL8uS73PmZZlCPLHD3pc7
XrKV/aWBMmJdHw2jiM+JUoBaTw20QGnd/fU3+dl2++2bsKtFeWAKWsmfu7Q0QDitNU1MBtNBK046
e6slZG64/+tvQyf6n78LtgMbLMsy8PplSRNgXqML0Cncja9D+aCZ/xjbz57cErqBd5iX69fXqiEM
vCydPDsXAw/a3gs+/eOfH3mGwSvEC4Xa5BdgZOguA1q7IkWXvsO+tuXf8CH+YyW5vNc/vD6/vNfo
YQXje14fK99puZ+KbU2eIvP2tyxZ//Wv8ptvhcoBTRKLYCJw5C9vReYxLySEPT0TJNLVfquvSBQK
LbCVvqb+Rlaw/Ni/PMI/vS3LI/7DplUXcd67TpadFcikhorO56PFmTr123/+S/34/v/ySxVuIsvO
++MbMRXHeEC6LvfIchWrv3nWfvO5dKUQC/bBZFH1a9SAaQMX4eItzo25DbJP/bixg9e//nV+83H5
8Vv8+rjNjU2tZOvFufA+JcGzpf0vHmdJIJdL0NRCGvvlU59Umd1amlGcE05ABrjZ9L84vBYPLIGo
Jh8bpGI/v/OFVlDfO6I8z+6nwb3qlo1P+zdn1++eZB5i17YtFDpi0eD8+HTJCDkHcUCEN1P4Tf6y
cbFvevbjrMrMv3mSf/O9PKy8hiEgOAnmTz9/rwgdgIn/tThHS0+9QbMZIbKumKnvjNv3N//fkeei
W//vI8+F8bWO38LfbIeXL/w28xTOB92D60DsLsf8u53qz+2wCyUYdS99KFxfvFbf5VrmBxRO7Gpd
xpssZCUfuG/bYeMDtGE8fYirFqMVYIp/MPZkrsmD8P3I40fiHyMK2CRcmA8X0M2fH5Q4SaImoi86
cQbj9iNKsSV5qnPs9CKP80EZvuhnFAsrZh8GPXOBl6Yj0Z5wv/DSZJP7KY0K1FbA4PXqJXEzIa4H
0Sg8S/2kqlXTF/KMn3i+CM0uiw9018Y963TNPohGr7WVlFp7zgMzuEgnRyeEJ00TcRe7MrMI95mz
5lUWoTOcalMhNVR5tuudIntjscp6q4i7zO8sr0t2euKJray8uL9tq6k9WMQ8kk00R+m8Qf7SvcwW
niVkFZF+NDoZHOuqwuVbMFLdRKOEaFTV7abTp/hot5N1GQSz6jBQBfJT17C0QwsSDLhbLWYFaRF1
15Fhf+JYfaHLeU0cZhWcXrmvHPtNtfmbg++npfOrrC8MAJm40NNV4XAoZt3etqnWvQwOmuPe0OPY
H1LMAFBbQaUy6/gotJjpKUHrr2NMA96YhXGA6kHiV2rk+1TU7pVbdeNhVqraWZy9ft0DZstT1GK2
B6UWWCi9Uh+QYNqoNfooH010wG4/P3qdxIId1C458vZ8SC0WnXjNqFmxnrpxla/q0IClizPYLwl7
YPaQrpUn3zwr0nZeP+8zIc9mEju7KRgY3RBnsQoDVoAQIJ6sCBpJOsz4DrCA4Xyi92nJSo3q4So1
yVhHjT1CI7THdc1BuUlQ/p/1ME3vtME2b/G1FW+JbkGUquLiIwvNmsln9aWAE/avnOUP9M5yjPz3
U+sMlTB8+82ahq/688hCgLJoU1iFemizF9fDn0eW94HYckyThuNxjf2oMDWxjfKmejZZZSxRfjSH
mh8AGC4QQ/5ZTKdcrv/HI4tb2uYA1NkeEjP+yz1aQfqOBxifp1oKcOZzlmLWXz7R2ljpx8JtIL5o
yyfeSqKLOJiewc0REuEmr2aPgYQnbXD3aF3yflOZRAHqCq3cSFxz6COBKR/DusdsI6TeEJpH67yC
OuMA21aE/1m4id5akMiY9gt7MUPz6SuYbRRMbLcRiplq02aYgAhxsvptVSfSuUAdIVcSo2bzbtlM
Y4V9M1mcnCPcFw2d/8peXJ52HDBKxPhJzB4DsEWDoJmJ3GaLPxSML2IcLKMZszeFhZTh62nGUirM
mfBUibtHu7TK7EAG3WGkv/NthwxeJk42H+S+WxuNFV0qi6BtpV0nZL3dqsA7QoRPfGdxuJJPIi6L
psQfqQ3pZnIAGtUQdzAoduexbc5aOoKRYQi+mphnzWUJZRo9kFxlDjw6Pzan+mtqtndxpt/hvszJ
iMza4lqr0vlkWuz7K7UNlRM9lTguXA4liPX5qbeycGWW4BSaMPENxeDFKD3mLd1aTmZ+pzn2sFUe
cx6XwNE1ZK4dwgIctRmAdyQo6BZdZ22IIjr34RDgnkmIl0Y0045aeesMTLkc0kr0iTxQyXmmDMGZ
op3EbG57R8Qw7JX10EiMmBETrXoiElgnFZW1Wo42b65Xs3IVSr2FZC00hi7QxmFON6QU7374KF7/
cev+6En+j0p9gd8iQPGkQy1Kz/PzXYxVZdAJZE6uDGJTt0BqjU+YWzx/mLhw/igQ/63alsXtfz//
7pDz5XQfvwLLlq/6dv69U3RcCnWE4pxWvyBZbQ4fkseR7C3hvd9LNu8DNZ7lcQgKynumBt9LNu8D
ZZbBv/Uuvacs/yfnn/V+vn0v2d7BgUt8MOpoNuZ4036p7Vk+kOHOTvJsmOw+t4vO3DfxV73WSbfp
LZzieh6keyCfaHWFfAxahltBjQwbhvPnNs/u3HyQwIyNddfSTwcq/kz0+qHpq8tU4xSsQdOv4qrH
Ldy3hCGJl8EFSNIYQ3OEcXUA40GeeHw2W+3AsPXUcLSJupGoMNg19khiVjj490WcbOYBHAeRCe3g
lH6pzdcpDu8lbPsW2uezJPuUkrO4mVJN0Adp91oU14jmcOJUcbwNCTjPkieU3y9DqFON2cltUzON
ravG54A55jpbFPaFu6ksjZOurHMUz+QoC2pHW131RXf0muCLkngE4QQak5PeWCNSlLAIToPF2D40
tOehtjeNZ4hP9VQiTkk95Lj1Y2zoXwB9AflXZuUzFXgYXe1Lt5RbZYbdLPVOUxZGG8HvEOjpKZ7V
pyYhd7wP0ngzTCxsI6Oyd4UdHIKR3XXt5Q+TCs5NN7zkDhSQ1AX44lW71sJzKvN8keGJrdeEuyqA
kWQw11yM6t0gSNOb5WPiyG032Kehj3Z66/V+4yU3Ra6jty5GrKfz5dB4RHEG6imObBOLcYW2TqaP
VcNKK03bJ3tmcemAJm2b/Gvp1Sf0GuElykDohla0LpgwD02HMq819k0gQQ1U4b2R1dyR0bJYbOXF
4HSYlZ3oSxG6d2Ew7fDJj9A+0DMtYI/O1N5GSB8zxA8H8gf/bV8sKBCr97xNueBBoqS9Lt6BIZBD
nMtywYhI9g0OLdCayIlo7cIayUW1T2CPOH0V+dhmQgad6Ul01UaVXb7SU5AlRB/dCRgmCSwTaxI7
lorhSkE5aRbcSVvi2CggoHQLCqWCiWItcJQZDtq04FKsBZySQlBR7yiVBapiQFcxoKyktoWnkSI6
hb9ipcNFsgBZopp0IcpkHVJLy1oPfTqbqlf02/XHiJA6trUSN59DfMKtocDR4Aqvc+1GV7K65f6m
dxFjvEVWuU1B7JEtHXxFePYW4KQhmoOxuV65F24xPjZO/blNMQCrsrxxQxYiUXojVHbwWIL5yFjW
anT9xHR7/L96vfUIiCUa2+KXU5vKZU9ljgmqh9HaROifVjJzZx/oFf1JnK/bctyazoREwVhX4/ji
Bezu5PTAG43IPNEOU6xdFlW0i1LtUAApYtznhwkrY9SW+HtZwZCsMXqKQmC+MNnRiKpeR7AZ1gZJ
vj0m5JUZk/AcV6nfIq+Uo7sbJFs+lfOGPLaLJGbslm0ZToHuAI84xBjgrieIA1Esn/JkcQPU0WWv
uJfnKpbbMXc65KHFXlb6FXaT12aw+BBMbGtckhYsuTbVdCJC+TDQKa5ygwwNYxh4b+0VQuV919Sv
bLrPyeitm8S61+MwX8mpvpxTF5SPXWyslE+h7hE6AgAQN4p+Z3fBW+U0PJ19fmhlSBvl9nsRuqOv
VfbeMvPrQJ/7Y4TSOIlZTtJ8+pHVnQa3OI6soGjJyOcJPXLJyYJxIBEUyAgnfSfd7prW7qNuqENg
EX7c6+4GMzbn31hohJeXtyaB93481+gEoEyEyZ4ElZWK+6vAme8rcj0qo70JjO4CqeHKqdi+jMAn
8etsHafemCg6yITp1+iRZ05hcyvt9qgX89ZjU+DLCRuL0j9nQWOsWqN7MWMv8wdgKQfhhteimFYq
DG/E7F1Kb+r9mY3r1gEdoENCAL2I4kaFySbXYgl+wYaDH43XZqah/Z2uDel9JaNjWxAu3TjtpoHB
taWNw1RPqz+16rp1vYcx7iI/t+3OH3NbUn8b2VNKyNE6VP3XpOmOLOUes644JG15GUmW7F0d33aU
gEZcf7XDadN1Ql3BNNhWyfyQCoPEe0ibnMCbprBvai0oUT7IZ82pP47VeASmrVZNl7tY3D2/FdER
XxjqZ/scDuERlhTHuDUdgkqihxYBe6S90zTpIwElQ7oWWiG2cBwG32NflOnxwbAhoKghn9djGX2x
iDteT305Lo6rT3KezwLJKp4s+FYhCdpjPSerwKy+um2f+rIlNi92OS6nsVhHZfyxTIzrMjdurbQY
WJZZDISbV2x261aXF6wYz41Dw29wftWu6FaFXTyMk/aoxvI+i2nYwYauVRaTgDcN5z5lSGHN3t0M
HWuddUl3U7fIOO3MTfbWoj5wAnQ+yMnZe/2d43aZXX8vT5hbuawcMBrgfGDxAFTw5yq2qTxhTdKU
Z3GXr57sbX9d+fMq9+Wn+9vmxEJsU2Kgii/BVK6jPVgECGv75BT9UUz/W+Aujtu/KHA/vdafcsrb
380l+co/i1zxgbcIuNI37OP3Jh8tJgUu9e83IOSPRS5UKEsHA8X/UNEyNfg2l6TIhTopXJN1k/Qs
2I//oMnHBfMfT5HrMf3EVgNdd3FM//wUmUlfNOjghvMI55E075iGqI+SjQKzmLtju220FMz7aFv9
85DkRwV6b+fonsucjolaMMGNCQpP3Iahs9E8O1/lU+H6jh5rR72dP9mBMQP1ad8oh5qNi5hgpbLg
zuw05wQLg4SP3qy2asSgxipyk4TRYxsBc4NyvY2ld5G3xgWWlq/pOD0OUX7hWinoQaQiwtjLGK22
TMiHinMs/gleS3RwQGlG3Wros7FyWbbzlrjWw+BoL2mvvVHSVWs3wNAxDtO4oon5UuVINVNdu2p1
uneB74TSdKBGlETtRqhNkfALP3N7xowdIJBuKh+jvLwxnHDjlEgs3ckisKtr+00I5i08hfHBUeZt
1TgIuoK3eVGoFdeOQMtk1ulVIZ3tPCYf88pcBUbwGhX2fW8HAHuTr1NoKSoN48arJ5yEHdrPPmwe
Sq1lvdC1oGqyKNuOLQ6gSpKvVDvTXY4YfN26BNVTlCa+mUWoDYvOZYFuzeShMJNpAvxDRCM1a6sN
92lkkVmnEVjZacktukBjPRoZiMTJovOO7X5tl5p5qqtFeFKCvk1Zy1/MWn1bNiMDTBaSu25Ez8Me
DwoR3EPKAXvfBXJKH4tQc8OT0cz5R9wXzGMyxhG8fP3sjyYSxZ5glQ0sjq8NOoUx6s9RWyMIypvW
PbVB28iX2p7jL5gbXA0bAw1AbIlga6MCO7t6PPokViH7MKZiq6yhPOWzET94iK7qNh73VGwvaTzm
SEpVfB6sxFhrqmOGNHn3shgOZm7vYD13SBxEtq+FeNA6Ipg6fTA3Y0B/0w9FeJtbOVbIhj1YU8h1
pfNawqs4jUhl4UPELhpkF7BllY3XxcQ16HWDug+r/nPD5uvowj9EjhO9KcEMdrbAN8ZSXGleSZKY
jl4j12yBHabt9jUUrr2BTO+ucqrs3JducZ8aKAKViCO/t9R96dHTtQ4D9o7JcxjbsKlBaXaBhsoT
UeWqLSdkZDLwCfLhosEBtLFjRHgs2bztBPDwop30T2Og/CoaHr3JUr5Z4FIlNytZh5ZEyTpa2kHT
5PAC0XJAnFgF69hrix2uqPQ1ZcSzz9CUkbTgAUKOxj0zcG9Tt3KG8EGuyMqxKd4HUwSXEWKMk9dP
V43jMonL2LS6JTP2BPjodtS9EeEvZCfNo3NtqPxWqT3Om/dj+N/7yGL++lf3UUEgp599+h3XYPnS
Hy4kZl6C8dcSmoq84IcLiYwcpBJsqWyWVO8DmW/mAEbVmBuXvBvmLrx5P0xdnA+s1kwDSYpuLpyK
f3Qhoc349UKCeEgKKDebbfPd3iknP2gDXBEKCJl2eTY8xqoMHtmMDdOEwqzIeVZDcRiCdJuZ06HI
CwOrYxE959K9yPt468l2R9zUldtVEMe086wRbGflyGMTt7zMYrc8Qy1+nHTryZNKX3vNcspq7QYq
1v0forsWZlIaknxRJu7NGJroqqgolb5ByIUOybMHfSNG/WqO4n7NR6DfRcBgoY55CI30FnmwkCTG
odYWIZIqXA1zUMYrAobKfecM+VoDKjdOjBymCWmQQ8IdQDlsjn2vP0DGwgQ3bQajxbMtrXS5R1H+
1/YrUvvIV/BPOfgRdYE6p4kaB5zoRfIquSk3U4BLCZJoyto+OsyFFRwyheFBz8dNWWj6Ti/N7Gjb
2nCJKQCiIeZxHzDBA8soBvlZK4jFSM7cNb6dkAE4zNa2dbr7Oq4IHUyrBxypZ1UJyLomou4xrrZm
FXSMtWAzF1qm/MHSKx+y47RKq+6kVKL8dCqhl/cap659gUICT2BPyMOSfjOQuwJYbe+aTE+mNP7S
C/MUFvPVbOQ9Jj0Y1V1SP2VLv9CV3Ypx/mUXefQCOmN/OAq+NrPpKlOyc5oShq1qsdJnhkMn49yk
AXRkE1/S2pjDTWXl3nbQytfKQPtn6M2VYZLoWWm7Us8v8zw+i6w7miYTPtKNj1XPMxN0zXUVO+3K
Q0Ho6/3UbSx69KbAl5t0u6oyT64dAYCVpeZXuD/YGBbrVGm7OtHIGSmb08yWl3ePUVvnObeGY5yk
yhYtdD/6Vm65vsGQkaH8zBTcagkkSXVEF0OwacLmfpRoVfqkOIVW8DJV/bTNNG8XNqaztlv90apY
A5uVi24mWU9VC545Dm/CQVyKMV/P4QhhQn6pnUGtczzsLAGcQ1jRuACNvGy75hyXTaXdlNDo57dp
zNK9m+dsQ9UjyHymi/TbDTO+U9Gl6iJp5XOZ6reYQL54amKHy4B/DrchCQSqGS5kq21r3QCYF13F
ZXkxJs1VUWbXfYHsuWoiLtygGw5OYH+dHa0DujWY4Hi7wGXhXfTzneHMJ4S5GNWYWW6557A4mw7f
lzCCrN4N7txsJjci39O8ru3nhrTOVd7Jh0Li3kjCY23gdc1b+zBE5ipU8zUN7D7o8VpOdnfDYbeq
B4T2hs2WKWbpEFTBtYnVgTUb80GvPZZdfAuefSlo72bFysipOxOSX5ysDDCRvF34MWUoAEBMWbw1
U2fH8gKfaIb12jAiZm4T4aFax5OD0ydZFRjFV/mcX2NPfHKt4mtZ61/AbaOWLLNHON+XtkiX0Evs
KvYCENdr+IBuoj57nRZcyhSg6ehxTOj6NVM/PgxuJc5E6r2ZxNptEGu9dY1Gw+eMt+YwqYNZ9C+i
zLeVpT9NsUt8AUwzoGHrfOTz4lmNtQOB8LEY2fhQ37LrmXZ9gLRS1dcyzo66k2znhtQuuwquEndB
3jnpHpv10hfbD14XrPnOvW9K617otrGLbIAmcyXURo3JuKk04zTyMbgGiX5rT80eL2fsF1mPtxG9
pLHgnePSNFa22675XeNVm+JckhiqogrDTTuxZGL8uxFe+TWUr7Fyb5vWvE15TbgH0PuHRbZqM++a
nmALc4x3sU+tlQrcetXPA+v9PtlFVYXAPckAtbbaF9CzG89Ll4k8Cz07vIqA1KycLu6PliaKDW/o
tLeN8XYEyyhyBWmkhJuBF2OPdNTjY1uHhxGbUKCtU888RghMqMHdF72ZYxxmaFFHC949oyUtqu6M
ONgRm1P7YeR0m5HSeyXD5jU1GOpqjbmrbXde9VV1gtZT89Sou84eLy29SSjfql1XcNan6moomUAq
MWDaGm/1qdxgcJu2NmL+spJ7TWjDfTRP3XbojLdUUlE2rnuTR4RlzNls+v/WU6zcMT+yz/nLeup/
VvBUf9vf85V/llM64iIHqZBrsCh/T8L5tsSnv3csa1EX/Sku+lZO4bX0PHBKxrfY8j/be+cDJky0
dfSU/JD/UHYEwObXakoaNqqoZWVmCoLSlz//oZpqOtQnfeppV66dw1UuDz15LKsic6hWFu9YCk1f
W9xkCbaypTCDb0CNMWA5Y7NSrjNMaPPiRmPbm/i4SkvS2PCqVYtrLca+NmBjK7GzKb06TZ15YEns
XaIeqjcW1rcAC1yIFS5fPHFhm92Oi0vOxi7HRpjgAPxzganfyMVRN3j4KeqkBjTqfh0tZ9wmg7rL
DcIQyNDZzOlMYIrmzptcVk9WB4g2FtxtKXb2JFT4iUptW1R4z4XGhQE7isB0E6dYl18QBDrEazso
mQ/g89DWwWi9qKzXphvSur1+SxbNwBFbNi0dXpXoCiezsLAkQLFg/y63SrCq65sJmBLtILp5c9Pb
TBDZ4113ydRShkKNKBnuQs/50rruG6HZ1FgxcF6zvcr6B6MBWBtMg/QJAsd/MJV37ijSlciNFxhX
GmNlbAx4Ilg3lf3RCZrmotKLz9gxk3pdZBFpovbUc+85uWXcVO9FauTaa7bW93oEct/tUD6Mqb6M
P54Kq3wkCqhEwjCWl0xTJl9z5aZwERWF6lBQJTei2eUsNjOq59EOnqjKQYekVNYlVwEjdP0gOmgK
Eb83RhgK8cBBdK8vZww/z0cvbOOLPkZIgBV/WHkioMoYzPyMKPI+WxxHueKUx3N8tN7tSO3iTErf
TUr1u2FJgLSajemG0zTF1NCQN7/4m2ql34UYnoLF+TRD8K6wQmmYtRip3NiJe8ANvEv7bh8t3qke
E1Xr5edRYhkeDYpPbFYWSNZmwGOa2B0W2+SjjR/LLaPdwKgAekYIgZwbCueWwsFV4+SC5/cUt2Iv
FotXspi9GPYjSsD/NfYDRjCBJWzEG+YsJjHecvKGuuQN+tKqr/nZtCm0N1TGwBZxmY0zad24zoya
kPhlENx22WnGl5YvBrVpsaqZmnUXd8PnQoN71dzXnRC+rORNiMdNMYYv1HyBw/hRl8mwTnDDNbji
gFAQR45PDjzxS74Y5zTXwbbL3tHEU0cARuyLxWZX4beTgSg3OozQ2ZmvBhx5ke59NBgOlI22LnHs
GZ79GQ4tjuTFyxdG5wFvX1UPlxFev2wx/ekGG73FBhjj+AvwBSZ5cdUtRkHgpZ/7xTpoDlQri5nQ
xFWYZfw1XIbDYjcc6vzg4T/s2+LI35zp4bAmuotJMX33K+KomHw4h7gYI+T7BmTW8DnB41jYiEvq
xfWoNXssnc8gtLeDZKGIOzIxvZcWt2TeWRqE3XZtis5v8VPWoXqaFoOlsYz0BgvqpdHdeqLibseu
Q2CL+RTjzxwgzmeLYbP0rBsTByee+BtjsXROc3+ye9YuI27PoCAoXdaKyC13F3vpR2qHy1BvHtxC
6VSdlMM4Rw2VnSKcpERUfUxz644MMZcFXP9q5XzU9BosvcFwlfVbOLFQgDm8zwzInPhVeUguysXA
GuFkbQJ9C0ad9Qu8m9yo1vNieu1xv5a4YDUJStPEFlsN2gFI8F7HL9vW1SHHPzv0gKdJORtpf9ts
vmHzgYonr4isqI+j4pH1GGjleHIDvLnpgJ2gsg8tnt3GUhcRHl5hRo89nl4bb6+9mHxtJ9j2dnRw
cf+muIDFYgee8QUHBqwMfMLFYhhucA5HZXqEnPwyZuadXFg+BjALUVa6n+A6huO3LXAhY4U/xriS
/61N/qhNGNP/XW1SF5/qL/HvqFmL+PhbfSKsD8JcqgyiKP+oJ76LDAFq6QZqQd3Fe0MMxPf9g82f
UIRIaOyOSSYyQ6Jv+wfzA8uMJaTcdih6AEL8k/0DroJfChQmRtQ5hF9RnQD10pc//6FAkQQVsHs2
oystZQln98TceczwD04/VS99bfIwtVVb049NmuvS9s+sGIKhapIHMAzJRs7sdK8KAhfWsNhCKPHA
ufobbLjl9KlDZLlQ8Mdq7gwY/31i8AlCWAn7ECQ0wLvUFdV8QAFZh82uJW0luvPadsneaYFMFhog
jRXq6OQ+L7nDmZ4nBrMQfSKC3MuZJCDr3irCHOYSNSL54rFaZXbnPhai1/CgJ23/qHK55EzZap58
q2DuTCvAjpbIKe/aTHv1bOZV8qzZik23FMCyRJ8FzLpF6K0yL4lPM6u+DlDVnJNdFROQKksDPpKe
+7mZdCddc/Mr1yn62xy5yKbuUrg8S0Tonj7SplupvBejyLEeSkYV9B915xBS6MU2ygaRubcaDddM
ok4e7zNI7a+5oS0SC2tqCn/SuQSNLWj7hEmvZXYgBrzebHc2qwetWcewd56xawuxSXsEH1Yiuqgg
WTUKZmfDGTH3qBcGk9zEPYt9/tqk6nDnshq6aeo+eTFl0dxIt3FBQjmCdQHqyXv08FfSbNRwXWq8
mtcFtFN9EzZ6mfthUDLdiwzRBWeP/LDnFBkow5IuQ5PiLGkZQ6HH2V5/D9KAbEioRkX1NhK5FVvD
mzN44RtrU3eHBT/AYh+VC0sRo2ijkeSRazisUi9unoj+UvW5YjLOFfX/47j/nVIvnqH/fnLddyUA
/OKN8+k9K/V7kunydX+eWXJpggQSf0xIHmPlH0bUOqQ/GNOua1j4NZbku289lfcBu4ZJ5J3hSP7K
AsT5dmaRwsN/WNiewpHvg+1/sDMFB/rTmfUuDNSxMCEehfOL3euXM0sQqplrZZ6fZzu6gHKA5qok
1Aso11wkJfemY4H6zE6gaNMtreNe78QuBsISdeh8GNfJwbgpMJh2prgYGvUp7aznoGGKXLSncRaX
obT2c+QAHdDKyY+A6TZTdtMTGL5x8pxsAMfxrQVhAm9L+bMYAONNzFiyNGoIyGiLj6UZwaApvcsC
8YwXLcqvUoKLQkNXy/SzQ8oVEKjraKRBqIn1UzJ5GgRhW2XhnD27QsbcpWjZBMVC55RfsFEmK3uM
Wn+OXAfOVSoO9uRdtq17MIP83pzGN0RKp8aSi9jlfkCiQTEf7kqnOzo2vquyd85w4y6yFh2yjOwH
uPhrjs2XgRDUZkmLqwXO8EF615asj1nOrH5Ir5Ih2SpNBPD5mPDge9GQQGof5TIJL2e11u3kMqqx
wM4KqrxM20Nh4w/PUwB5kSPzrZbIl9HNr4HMABzxyitV3TAJ3+aIByeXpaKN2M8cbyeBsich99RE
V2IKBvmZ9tRbwUfuz63TdR3qJIp7M8s/w3l8UBpYrHzG6SLG5GrqeenoPW8Iy0CZkjr5Y2UdSPAh
Db31CGNjUNtfhbq3DVANrnIbqfTU9XfRRIQEqJEtwXTZuq2Kx44fI6hmvC+xNq7YcO7sWOe18YRf
6hOTad6HJNHcxYlNmNIEvXWCqRx75XEYgi9WpZCUOs69VTr/j73zWI4cybLor8wPoAzCobahdVCL
3MDITCa0Vg58/Rxnic4SXWM161p2WZNBMiMc/t6999w7DUjlEtn35OfgGXvbjWjIq8GhN9GdhluS
xjBxgtpAkKVOHryg+AooGId9zjIp/ZYUzVPoY4YCCTUuQ36pXRUY4xJzmrcIShkuXdPcWIKtXezi
NS3jlIR6v5r9fGfPKe69YZea0OSKXk5rs+0/iDpUK+FgC9Xd6oW21bWP104NG9SXZlAFwnJmOSGN
Fr21kdj+cO7McsIYZ/jVmcXaYz2nd0HVe/D3EhJ9MXZWtqQePIYCkmRTHvVSZicjTzG9tS+x455s
Yd8VQxkv3ZjYkGbM8zYvmC6KAOyAPxW8My3zS1XU997AP7xNWeVkz+Cug2/BoIEaHOw7v/Luejzv
o8WGzgiCvUuX38LmTb/wHG8Ddo/hwsBzZoZpi1epgaxSNwMCxfSGhATNroWPkfEXXXRaQ6uOttJT
Z21MuCONDPWBbNoWmHO+ntI7WnsNzISLIZzftHR66wbnIZTDQ5qxmJTeTWqyQx7DWeAjs2DVxdrT
5FGj3mXUI8/dJpoG54ANbFxUBpg4jLTEK7TpjX/X6UD74BoqkGAAA5xowt0zZXvOdO0M9qBYx95U
rEFKviFJ7KaqI9LgsNDWXe410+i6i6lBiTHr8T5XuL+6BVMHLdlfkvXk51FYwLHnHch//24qZOBk
Z3RnihjqTqbd1b3+0SrAoHDy+FC67mMFe7BVEEI2ZR9VpV9d1jltIh0wqQALCzAEG8cg8aFghgFU
Q1kI/rUV6LAmTIqbkXdT3xWvQuEQSwVGpNaTLZaCJWZQEwMWSTtKsN5qJy63PkejgLBY4z9ZRpE4
z110bTML8DKX3tUElxGTy8hCt7ypITYmitw4c1ZCcoSeYC7LT7hj6b6FYXUgY3EwFf5xVCBIW+8f
mbyNJQVD9TpL4G02Nm/qtA1eKaF+bSBKRi1oyTDTdizD+3XOAbcQ8CcrBaJsIFLi6kVjtJpxOSpc
ZZg376qehOjEsoRnyUG3DWsYTiakS2JhTynky6b2kL3S/lkoKKZh0lWkK1Dm3ILMjD/hmWRwEPwB
amaGtW/a5L5wrC2xu3IVpBRtptyafaCc9iedU3E6rcphQWI+Dc7t2NJB+jLGRxFZt0VSLzzInomW
P8aQPh2F/GQhcjEVBLRSOFA9cT4MDnpUUv8GTg8fbQUP1RRG1FVA0UyhRWMB9s0HqVpld4Nv7lwF
IQWxuab5+L6wnWOkMKVx2D/Tx5UsdAimdXchL7TobLZnIeZJoTinmSKemsR/lshszwYwVMRj+i8U
HxXHytlXxFSku3TDAitZzNAOqByBrGqDWB1BrRIZ1ZYt/Wo0WZahD1mkt8ydkOWHF+fReSw6SnDQ
mmz3OSnzcYvNRCkX9TxdjEiPl1HLv7M7zc4u9DpYRMGy5Pw6BN2MMc9qyqs+a/MOqpbYM91fcP56
3lsvpmk7SzZqUeVRiDSwb/Nhzue2cTYre89pdHCoU0phDyyaTptXWiOsJ7hknBBDHS5Eq+0AC1+E
aMMdPScf1qR/IF2988hBTMWkMenaKvfclZnq/Or8jK1llKtUZmQdUzDqYQTQPsGUGuCeJvj5Ekmo
XJNBp9FYR+vaaNn0Yi51BrqKPNc5hvyxq/dOPxgiuKOJa6dpo3mJG/dqVTKgHjs3lmmmP/Ln5ylu
ZB+IQocBkDHkbHkL1GibeC1Zf8stNoXUAaw1uvI64ek16vGl6CSI7uzeFtPKyexHlrw3U82yi/r2
PaucTRMjJ/I5QeuVG6Or2OaJrxyuN4CyiiWmJ3ZUTn3H8pfat8rYwtznkW2gQ6oiI3fGHu90WKST
/OqiUVMmFsGOIi22bmTH+2EMM0hVc7RoHPZxEmda5eCTikvzbcYKhCw7ktskq0WA98Il96VpqpN0
M3dZ5trawJlkj94rj5bNMJp3mIWPfHJ3rkm5XD1GjxXS2pL+wzPVxg9eapwojT0GWflsV8YLjgaF
0HWfW1OeS4nINsa+tkg0hXK2w6d8ItZqaNl+jg+NaM4yDDfVaKarPvboHSU/62jOY18N51niIyvi
90zYBxC3Gf/s04nWuX43NVO3LqRzzg1CaE7OQahhsbdjZ0UnDbgtk4LF+dg3lkU1DkK4MzvPyZjn
Nxbma5b3nrbQIO2shkgwRPa+0vtpNLLzYoIA60I+mZtdS3HAqtGTd3fkDuPJ/satEL78Zii3BN/a
U1434GDpksKS4XEoBds0C7Stn48Jd86g48Nlw3QSD06nHZzYzbdEBfcU62I2zyorYRzHmBf/m9L6
OaWq+jr++zh2z5Y4nsr+z+OY+rpfxzF0LBJVBplSdkXmpxn1N4nLAq+OWcdGsiIq+sM4Jsyf2Jqw
01E2VnCfyoL0yzgm9J8+hzAyXEJXHiT3H62QPhkLvzNCE9HyiWgpJjxxWWJfv1shGUEPmLtxyhvZ
6O6mGMhhiEqAMxTjLnI5BYaJixoeP/3KL6EfdarQKJQCmwWMUS9fqPltz46nahktq75PekfsbNm3
lzENqm9VF9A9kQ3xKcpcVrsoxvGy8jUomrmhyZu2ybtrnSTiVdPpbjQCPLbLIDCAkBVBcUnDyv9G
4/gdFgsc8IahHcwwopUJDMBj5032a0ZRwf1o2v25ayN3n/YFCwm319KNYWM1tXodSKfVmh+l3Wcv
QOKLXWi3/qqogvZtoGl+zVo/XruNzwGVjMDNoqG6HSEaZSzq8VKE1Wpgsc/6XyOT8BVMXySOBuSa
SW66Mu23xtz12gdd1KoxSWTEYeqgLZqrG1Xk0kPqUe+jhPPIG3sKEeYOG8B48XythNYZikgKsKOj
53JGDhU5NBv2U3x0NC6dC7gB03tCQArhDBnNrwP56oyZ9cY2z6a1GzfjBrHcPkw9VtZuLGeu4LaN
/wrO0TEcabKIQ8OnGXkI33knxUuyFfNb0EbzhxPLl4baxCKMD5qLFyE3HE5Om429Vo0hFn2jn7Yp
l+NjaHTTKS0l5VSdT3BP5iX6YDyG8abNO44WHD9U1KT1s3DjbJ/5xqOV1tGO+jTCwPo4LGyv6XZO
0jr3XlSRUtE6/xHN07mANNBXuamma7Ozywd6Y/KPlrLFd80dtYOVde6ikvkVbAKdnd0gt4OmtXI9
ZnXdrcBgVt9d+ur3JNaKO0ybylc7O1/C2XAZpdzkUQYpEZ9EJOdWY1Fo0BtAZTVCVJvCxJ57qR15
85IUdIuRCvEmeIF9Mj4WPH7WfSnjew2m1000ZM2yYOdLZacQQ7toW8LF9K9HBEek3VIVygWfvJ7t
7MzB/PAdnDkZao0crVvYfESN9NIxPqqymjd1rLcLH77roqNH/N+z+Oez2GKL/jdnMZyT81v38Vd5
Ar7wt8OYc5VgBzhHV3hkY39v37RNg8WX61ukCn7c57s/Mb6wAGNdr+Ph/BEa4P5E6RMxaNv4f7Rg
/DlNQJ0GzgbbVA0Y5h+3+SQue5r/SMbo5U0TivWUuKsf/ih/kd3m9/sh9aJ2b+gRoKsZ23Fc2OIP
eQVndFOrd/v+2orkELtPmn71QUGKnRHcjAOa9vrvX++zV+RvX1H9RD8oFCZ6cMzWvoe31nMGTmGH
t6gtTTVSle3t2JTeYehIwTqpHSxahzjmVK856AJ73eWdS6ahcL7gwTL3jvJ5TcrxxfXaWlhexPol
eyqUK6zCHjZo6XcfuxiA2JtS+ce447Lu4aO5LJS7jEYn1HHlOMuV90xgQmMxGG/IG1tE/hlwA3JO
y1i51njwWZi5dUCDJmfACKYfi5s3DEe2pwSH4+GkYYLD8olxLiBjWGOQY6ZaTM54G4DFJs5n7ein
vhmw1CEj7QudyYvy12OJ6Y5J9bFRLryh+DJgypOY8wbl0jOgzdNXuRUVbVHKxxc55QjfEm9fEE3n
snfne5ewlWq0Q2G4L+mU3Tk1l2OoprsaVHR3O1fssZZ93rCezEJx6hDfL0U+o5C03cyyx6pRJb2T
44xnSLcnbAZ7mcKu8QPgtemFceyZ6AArObb3wCxVa1P8Vdj6t0wr7fVoi7OsxCFgBTKk1akLxjXA
7j0D5Y0+18siqBE2phMJkRMOsHLVzfRIh/Z4bAf9ue7NtRBYSfJifqSLJVywWEkvcV/cFGm3JWx5
Sef0oJfsTyUlkAAo2QfVEoMwxAx9IeBEkZt9rLsJo4Gmhxszr/p9348dLkmzvfXiejplNCZsCEuz
CP3GZeMqIu+u7RuD3VDGfSBqNgbI0CCLb/pCux+HYhOhEVPai+Et9lF/u29uhGZrOMmtCdbU7/Me
O6MBjthZweO87foSyQO7n0PAc2yGDWnbFdlJbjX6qixLMm3iJg9oRxolboQuS4c7OUV3TmDsKcpa
eZX3QohuKV27AYGqYSEiL1jguMkBi1oEaOY5wINDatpIhw+d7F8BLLgWBrO66wOYxptsWfGaPgp2
auENhuqzoE60tvOt1G32BLTBy+DYtuWuIXbZzp1i/17gI65MVHAOitsJDwomG55GFqVsRGKeRNMC
dYWVV6uAH7vgaZfSmLNvMhyP7BMg7miHtJ0fUJcIH2UdI2x5nwz6KkkggZOsJ17vmW9+n7wxoVAU
ldG/zqJmiWtgWgTtSLgkGLzd5zHzrx5k4Tj7+4feoXyr+7j48wyivvS3xx4zAy2MCBuUEX6ODL/J
2IwnDCY871xEOyUK/SgJWTwv2HLrICDtT3PefyQhgA+/fLNPwMQ/UISsP48gyE4+D2VCdJbOk/kP
RBHXw2QvxdRcJ21wGNrN3qjhfBdesnfQQ6+xcM5xxP7HsZstyqh9W0+pj7Ks31mBuEub/oP2tnoh
ZQSzfDhGrrEZrP7ErnepDVCOC+PkFUS0TZdGcyHfJxrP9YyVmtXnF3AZmyB0T22kbcpJuyV89OhO
xbONPd4LapBSHuIKavJUMF6Uq0jTkEoja2970RPXviVVRqAhsksPWx94+YUNBI42R2Icmbd2Y7CO
CB9tMNAav9E6a8Z3P+7OgY/5vbG+WCGssK47FIGz6Sz/OIj6EkTRxWdRQ0ICM2x16aHJWmV9xin1
DBJkF8EG9wkKaCkyj5FcSo3LaE/Yqp1XkT5ArGhvoqg/h+O0HEpvK4D0Qke/NDS4p/73Fty7Wp/2
8Nb7w+x7b8GI7dehejIZ9hrT0WC3tJrMWy1JVpSbL5yquZ/aqV0EMr6GVP+mLtj9xHm023w3T+1d
7nXvhSnJaRWXKKhPg6NkjP6QN9Our1vmIC7qSUXLEQj2QMWxxZ0bscD3tGrXuYTQRTae0x4mgDHh
7wnSN6sUSAfOMgKOtMh699pr3Sk0lTt/2De0jQO6vkt86s/14ImYClZJa+1Q3LeoAUYHCk0eBXq9
VFYecuPjxhlZpWUTTuwydt7cAWcly7WtV5HuDmWFtwsoWT7Kd27xPsGVBlbcup38ETRb6zXJLiFF
sqdduUmuYp4lcXpY3tZ2aEhb+mh9q0Hl+lTAr6z7TPUC3qVlVx0KBzWjVYFAgxXyWdrzsBomXO6Z
jEFqFAC8A2tO7kzD3KbEKxYY3HZJYUA2N4im8CvNy8JkI2SoYGJS0YDVqbBir2KLFD7YBNin+1jQ
ptkRcSfATW/RrAKP9EeBhCIDyfxFnbODxzEhH4lQAc0x+T6q4KSvmQ8aScqSRTgJt+ts2htB0hIU
xYjVHTcgMUyVZfAAZWjY4ZJzo+Ka/H8JblZoeBZZzlhlOktqqVTIsxpoBAxU8BMbFuT2SryHVGhg
0leR/RZ9FKWTRwfaiisTntC4sAfR5wgPBExT0/tg7v9STOajTQKVnz8iqae3S7S6TBEUwkWkIqt2
AfekSonDDJUBaqlZWV58Hci5Uu39JOT0vXf1Q0IOlvIkiqE0VpYkZJGK1rSG1hc0gHqTqxitqQK1
JcnaoorCRein7dqMBmvVCzQi2iRfxmTmr1zn37TS+4wOKdx6WGySVO4DLdsmOv43fx5e5xKGCqjq
a6y779Eg36UYuKxJ0iGYe4lY4jZzo4x9N1RBs6Z1oMrwG1rmNijNlw6o/IJjCm3I3vO8bRe9E79M
ocU318TXOKgBkPjEdvvuXaNetDVhgMlAp9MleLYIUS4nyoJmkw5xATYAncZcio4lztxUDxHu0pWe
qDQY1WALGQQvlsI1BGQAeH9Zm1rBxX3k9fUcp9OyLPlYNqMH6Nqyvue6yfAdhD6aWLOIU8IhY17v
6Q9w+NmGQ+W1V5mTt6LBHBXdIkuiXyIcPIWuHxh06cPQfH8RawgSvS5PaaTfj2F3tIvoASmPvqeE
PosmGRaeGK2VI7VT3HvGopjSxyYiJhDjh11lbkVJVhSlxaYZWcUstVKJfTWN41oyRHtBnjbKBkGa
zNO21J0wMRQsyYs2LzeyNw9QgG6rvGUzY8jsNi6HePnvXeRnVx3D4t/fRU593P7P9T1uq78aw/ny
X+8jVEDj+Ie84BOmJIbPIPzbTtT4yWI05+bh6+QifxzDqVKiNtqjZg2fClM4X/XrfUSQolQTPTeV
XyCl/+BC8qcxHE8KbZSwq/h++Gb/YFBpAFYREyOuB4R90ZrHWPyCNfuvja7sf38/iIMhB4rFN2K3
BPv2sx/7x7E4N0qdMNskL7Sk7OF0go4BUt9s3FyepSWdceUWU7vl/UsJAOMfwknn2fdmx5gKIdN3
zm7j+u2+CIP63DeaVy+Z65z67DiaLteipUGJbJKB4b8lc1lWo14RXc9pRuS6spV4+rYNzRHrkcrp
LZ8vnnTlmGwtp4IcNzg3iVuE2yrN9VVfEsyPtTCDFt+UibYtckjX90UzR99zLHob62dOu9fq2tr/
md/uZ/yvtVEJogeRyHXrvvsEvvO8rW87yU8R1zMSo0HmS0YvVmUAUoko/ss4gVIKV6yh3hJwOI29
YyzcTruwln2yU+uh9tv7hvYNqhafHNQTLAQ1GbRYnOpGrENRn2g5gS4YppTi9DHuReeInkaTJcyj
ISy3pOB1apJiAv7TAZP0a5UkRFwzl3VsWV+b2El2POdPvdTfIyed4OZY7lIEyDZeZnxEWZmtJt9f
T9j8F50fm8jdaLmdlEC0rGA+1lN1HBBlZJ7uOuJy2zyzm1VszctwBns0xucciug6sAQlSlG1nedm
HwCNieya5wjIlFWopVxwMJ2ErbEvWtmsmyi/L5vuGFlyJPygO1+nAdFrasJxCUBjIyveqtKIGa2x
QHIJI7UY7GVVgw+jp8tIeCilMPpsz0PMDBNbKYX4aqSgHqcobPwcvrnKAwH7dOrONbolBIhmT5PH
RCZY/xBO/w2UmUdhnZPjFMpZAEepHd9WhZfjDxexzaCKddllRe/Dxt22nv4VftSexOKlM9zHDjBr
FgUOO6CG2xnpMMs4zbl3OxTFxgc1QLngusXWlTtjuqOPZ+vR3reqLf7wiHu7Vh+eWbWXtCmEK9f3
v2BdPZd6Z2HIkQc7029mvulg4GyHjjQLY9tX2pvZGh+aJvfAHE5WoO1890kGX0pvPlAK4m3sJFw3
ro0xhp5sHtYDt5m+I9AoaEywzemGsnRjaZmpswhS/zULzVeLANKqISjqC7Kso7iy6J5ygTloZmVk
z/XGjbQHT7aPIh3WMqTCx47Q2wfCMHTc4pEcKI0q0z0zGeDLwXiqtOgBYtajVpWLuRg36q5suvJQ
+9pBSn1etIlzgAK8zZyMR6vbrjBUkMvoRXcnxoTqTHm0E/0LT3vUaysjNFISTDGtKrnkQqY7qeXm
a4nG8NJ6JXFaOU3BY94F6Z0M3JaxKTPWgjpXwp1dtKo1VbaTdVCHOpqgalPTVyMfi9NQ2fGlFzPC
RNYMQbvsK7KAK0pEXDhPvroS1oH3PjuUXETYHDRuJ+uhdRhnqmAdZBV7EOG3vJktunfocD0iLoTQ
KOy7TmfTZtVjvQqHylsYRnKkhuU+r1K8QAT6uOC14Sb1xYvj0LzlDKu6R9d3ZVscPCabc1CR4ZEz
T/rUKd9FiNLs1FPER47EkLAf9LAi55xM6TacwlOSky2c0uCW6ov3XvqUhScrLzGxBGr6feDwr2xV
X9DFcCYnuyHpvrvNeM3sOQH2R0TcGrNXM+mxyLlfGBkXuKVoZzXAEpPLrsDWFd4iURpDYK8mBC8K
ltZJbX6DpyeZOexVUgyvgxVQY9RRTBb3X3A4bKqGf+Z03JiB+2wU7ZPdM4SSSQVMltzLbDoV/rjr
araG2pg8h9G0j0c+olKeB0S2MMfyomfOXdfNV4AfrzKyL2UiyK4OzyOKtDFCNXJpDRwE043UaSkQ
RJqc9AvoMgSJxNmKxMaJmTGqdl5Mk6sEOk0V5TKxnXtIpPwFMzJXYeE+1EN86Cw6O9tYf+VJwMRW
EoOPixsuhN2uTMJneyJLSoRjZ0OY4rhZccun+ovfnrDlyevdXZOGB0xWr34FxHEul5WXXpFRdwRB
EFgC9rRm+qZ5aGJjvOspQ1vUffCmd+mBv/UqnmWx8E3/IPrptq10fkzRHhJdY9/lfAmIXQxM+KIb
7gMq7Aj5zRvoO+Uij6MbXcjvgQ51dSJ7oQvi7+Ycn307g2lYP+QFa9K0KHdDONQ7z8+nE/ouRbkm
NWTxFyfAKNcwGJhm2cEP041FKcR4o5sGYDr65Nap17wUNKBuNN276v5Y4qqu62MLtQzKtMw3tuN8
xSGZr2o91F7GisVhwpZ8Pen4xC0RZ98kTpmVaeUR1aKTeR6jNvg5/vFfLyFo0j9u5lUTirDYV3IL
AYVkOPiEf7yCGKltAHMMtEuS0Gf1lPrvwt7+cAX8C7nh/3oJddP6Yfk/8S52UmgrF13VETPBV1eZ
3Pz9a/we5EUy4/PXcHQg9TRj2iqX+uNrmGY/wQmNw6s+8pR3r3NH/88D7ti/f5k/KCefL2NzacWU
AXWKddnvXyYsk8ly0yG89iSxaubOlg4srX7sBcIJdVwtg4/9cyfGv2tNgcngb0cJBWOB/v7nrab6
yl+niM/VJRd0QLfgUz6N5L9NEeZPlkFWlnCM53mOy1f9anR3f0JtUW8bGi4YIpTp4tcpAhYL0piJ
L9bVQasY/yicY/7B6M53otuC1gTHsXjjqB/l928ZP0DiDz2P/jXWPBsDGXjVmOCiMlk8x43lrbnw
G7yPIDhlqctdwO72tW18H6BqLDDIjwdKsvBJRGmy6vR+F5bh2ubvAQcL+assemKm9MklbvI+Bhh+
aaBiE1IQVstU/Zyriui0avJvojp/tBuCmfVoTWTkKd1LWZeFXbnU42d61h5geBRXV0VQ8d+Ni17F
UnXuk4ecpGogwpS1oX8LygPxn9g8NrF+E5ok6Qsi9Yitx6SS00aXxRpx/g7KyVWqFD63eei2xPxF
vbVVTn8gsJ9j2IhUgh+O7bm1yfSHnbVN6TJaBsT9J5X7L8NwWLuKBWABBQjj+h7W0gavBJxsKqza
pon3AyABw4hcFJbxMqhyLm+mDPYTPCCpBVMoApn20SprFIVsvgswn+xsBS5wFcIgi4nN5lAN/Co+
+ApzQDPVeoZ7kCgAQlzz+IJnsB0VHKFWmARNAROoFIoXPVjuHpaCpaAKFnQFkIU89+EtsJ0D9PXN
hMLg8u16hWWIFaAhMtq3iFgwODFcWgKKQ6JwDlzSDBZoBKUV6mFS0AdciDsPCgSzHz7a3DjXChCh
K1RErKARqNHmdjbNB6GAEungrzwIE7S2+AdAKqxm2cA5UCh0pU954H7oyju2ZXczwqvoMn1Lr92m
VCALw46ffQHaolCQi0DhLny4FzP8i6meXtjnbeCLfBEKkJFbwx0kFDQx2Bm8slxLaBqDwmrAgbMW
tTHdJAq5EcDe8AlPnQareac42F10jWGyzULHjbTcXdcugaj1VLQ1HI6NrXRf1j7VJRw091ApVVh+
CsTup1hsVbW2YI6GnOKNh8G2aGxzN00ldyqANNkWXLigefUFuVMxFci6FS/BxpDN5K4ZKUPvbf7E
Hl45LY/mR6sqiZyY7O2tyr33aufYGdNHFtXQM1P7Lgui8OjMw3rOh4tJ2a4BaJPNKVNI0Ubfkrny
WQG736TrhkjQJKjtgRKm0mhvu5qC+qA5B4irKy6MFR5tiDjQowk3MJuWbPOD0CNiLye+Qg7lohjD
aZMYwfesCm4y2gtXIu90Vph9uXR6wV54zo61WejrWXfqXdjjZaVSGHfzYUxMAmSB+ZpULNwcp+tO
kdD0swUn+kPXg/Sh1EW1ywaPC6qRRVxCPg/lf59OgivE3zydore2e/uLJxNf9cOTyVIZLCAVtk4D
GXeW355M1k86ihnLJdQuvB48fn55MgnjJ9CUPJTU4wm/iVp9/cfzR5jccnwPMQ6XHrTSf7Dfsq0/
UcIoqeK78IS00ffYwv3+yWSqF6+yOrvRObcWtmDPbIjxiYVLuO1q7VpFjGMwWs5pZkrOaW9XT2GF
RRVJAjvsB7gfLsv+Awo2OGijxvtv+WBrQ05uz9p5Wb9xugAfsLEjVrPOKdFcjNx2Kct7be1u6cSo
xxbTRSvB17jJmarEDyDm6xEJp9NCxlij4tgTXx2WVeHkkytqy3SpxXm/S6pm1/g+9Gw6z9EqZnoy
wfdFC8MeqJQsH12cLKMZ9axHRLyNZvMta/QNy74XtDF74wZBv6zgVm4bIwuXdB8BunTaA3rfsPGC
6tiZ7AmsZJ1GyX0woKJIC9zVUElSZ4KNoFdtRifXKTYW+tEixrOcvZEPZoEvkvPt6lvZNzNmszOZ
WPHiEE6RNgUPTVbyMe/lSi9GjcMkOacY5VcxRTZrGtUz3OyuvXQlcHd38tapNh0iu2MbNGaPnd1o
tM0UsHXK2whI/qLw/AMpWQQUuzv7hflQg4kyO3mLfUVb92pI517MBtz7js+SpZFZ3MoICBzlAK9J
YtxNbcW5FJQuGVcrpy/depjz+JVIyGrMOM+J7DO+xfFJACRIav27KjTfJbMktB/30zpqHcK2gXXb
d9FzlPDzh3DrEWVJwzoUVpJ7wxNYWAI8A/pskiIsZqsxhLEetzF8IQO4Wszr6LJdTIFfcKOJXmCL
3slGyGXp4Z6cLforQzdd1EVHdmHy4XUkfF0GWhvgUCq2edlfy9JjTg74d2/hnBmyplmgejX6+ARN
+NTElJBqocHyy+HBKMwCrFBL7TwMz26RdNU2sEps7j6FvrbLlQVtIGzji56Ur3VSk3bJ2GvRIL6S
Auf3yA86DtwcjGzY1YZ+Y5pEN+xRNR7R1hT2+7aoHntt2JZtQby/3BChoWI9j2GqtoNPeGckjp1F
8PP04YXRG7sjMnUit2NcTWwGiJgVDsmHid9qcm9KnEXL1B/uvTTbECCo50s3nANI15Pu70NZXA27
uDGHYMd+4qr1bKeGCZaHujr2VBFiVJmhuEEDdLjf8AYlZOFoUcDGRuUV+aZFbldLWLs5mxI8Jrk+
fI9Sma5kbrlrUxk9rLR9l8gzY+mh4sp+X+KlBPHm+1ujsPeRwVA/w6howBdY8cIrfLllK8V1VVpE
OtyIrJjm4SNiBxYSgzyUuDJR3sS3nsq8TU9errSGF3LmXzHHJuuyJXITWuPN1EPBo9cGXauD0c1x
NFhL9iL0sWKT7Y6cPVzbvAr1WtZInUXe7e0Cb8zGYjllPw566nnbCATuthdonuFYF8ZCunCu4Y6G
0lh7hSbAwQ6m5e3wPExUp1sgVC9QNab+3tfpiL8f/Uazjr3sSQnasFtemlmYwzXtql0ZcvmrEkxJ
pUgF/HAKdWt9fjOa8K4FoANYXh6EKPpNozVozZpztF0JTQdRZNFnzlcY6S2rWYfQZSJeUs3xltHA
jtbAxnqwSt7MaeGlaGKq0MYuv1SBeANpA3HbS/KFNdffkXzBigG4gQU3smPUKRZqOnCmUyrPU9Wu
ZOwnG8h6Z1E0t1rQH3Ov/ALcDTyIxeUZPa412ImHlZ0tW0seWCzZ+sjaya3eYjqUHQU96kybFiNi
x9xyx3vdTC5B65+0ZHrNIvP7bOh8l9D+ng45gl+80uaDOclkJWyWvWFzlyr+pB7pLBspuD5mkXvW
ybusfFm+kcbbR5bFXhJD87IGh0FoMr84bjqvHNtnEtG0W4QkczW69oy3rD/PhDl9m+AMf4Vq5xYA
9Vp2wVtLDJztUIBdSjuoRmYBxIbjoUtXsx0+mw2gIE8kAR4OZiov9UdeXAVdUn9nzT5yNRznlYVf
Yzl6uOdyWY1rIL6nyiP8wu4cbdhwr/FYnPvMhYJMT4bPfr3NW+5m3Zvjj2Q1h/R+YvLhBsl0Fvg8
QOCxPAZ93676kXBxVh4SLeVn7OeXvvajDZ86IoUdWFcgD0SMy+6j9f1HDuiNTsIzzaOObKS1s5Ly
kcXbVoth+w+hvmeeI9VT3fl2+R7zoGP9rl+Ezvra5nM3ALHELmM0S1tv9qE28EjoxnAB6CpheZ/u
fTLIaCL0r3hmvW3teFzGor2mcX/DTWRTmN3TkCOs4+WGbW3yBuyFXKc6lVRQtmtwh3Q8a0Tqli6j
yspJhy3N1MbWwWi5x+fuLyntu+oVoSpKOQ59wShYOwDxWvmYwQFCQ+EhyJG10eI53GqjQYW27yyx
UmO/4JOG89y8cQwitlqLv6cr9Hw/m5m1IMxN+zUATTLN1l6I+CbqkydNL1m5FVgFOeQ44OxxN+cm
HwnbuzEpn8NOgQLulPJrUYbPNM9CKHa/zsL6Kh19U7XOS5mGL7B9nVVnxfsgr1700ttZgoQBXkIr
0ZACpnT5v+ydV08j27qu/8rUvi9UOVycLW0HjMmhaaBvSgZM5Zzr159nEHpC426teYy0faTJulhr
NVA2wyN843uTHOPKX3YrEZXRWLC9I3IDm+AC0jn4eS1fpbrYxFGJs9f703/L7md8WaDAfyi7g3W5
0ZyX3/pZdsuoZvBrwR3OeCWs/Sy7MZLHDMGiwsSBB4jmZ9mtOXvYtNgoYIwXGQ4PfGsIOXuw3mBk
WzCA6fxh5PIPyu4NbvH0D6FnYT6Pr53qPJfl79qho+YnvpoFCGlQisN7HcF2lR+Z9yhDZjOAJEsz
PQ7sFoFn5yAoy/n3UrXO0ImeNcSSAaxcxg1gQTUC00n9oor827Q0FgVNBy21T0hwqSeVdaeYOnqv
vp6PVnRUG2A8WCaiEvZQ3vfpt1BOMYNz5HhaFHjmki9+h+qWvVY9MpDUk2mzGoWiMxxvVV0CWe5r
SlH8HvvQIoomOKjgqU/CdLwlZeSgI5AMtkl9Don5DoOr69HOjp2wuMWgIsGjWn2S2PWKsvke4dY2
0Rtjv3Sk/dEazxEQWhP+sgUGCs2U0goXVtSEmsuJZ7ndsoYeRR1sAznoC6vAJbVqbepa+3vRcTER
xl1LTASUSefqR6EcAwF00gGOALRpgtLFwgX0Uu+XKrYANNkvu7y5HOqkvI6NYRXndGVMbLk9X76R
iWlCzUTyjNyfeFFuwJqypLkRpgfozUMi1poj5KJLAjPBulwUN8ojwOkPz22uB2yNyZhBbMM94Eck
V/iwFNoJYelrzaIFQ+P6+tkup5MJNZGg2tYVUXlD15o02YaDsBoWtt3Nc1RSTcWYeV6s0/X3QhMP
CxD28rTuSQKZu1aYLWoDWjgAYjAAcuZyvcxsbJJri1gVRa3BvYpMLqnbAh1DmaqiUl7FbdEtw9pQ
a/ZouU8mPZan+hTZTTmj44TFD76fHJsOpmAFTZlMe0j9sphgtqzONISOAungf3UAgWP1YLoNxqNR
8SR6n5TuGOjCLodQA9nGM6JLS5hJWJp1KvkqESZqzjNQeGeSfxv3+l1q9wTq9O0VDRof6lBOUV4Y
j2FePVEyrMcaonBrxd89U2cqYNYmt0jhI4gYZSoF87CrtblutOe9qnkzPCsOdL+8syOj3scTLiY2
2r4banxKcx2A3rS6R3jgcJkJtmfmcG9Ig8qeyqHjncSedOqhIJulnndIrP2j3tPOSZgvILu0SY/M
NF2EWX7RatxNqYmvcx0pv5l5AsmeWDhtkN1i3rg4Ni4M/sVWuhtvLC4CF9W5LlUkXd2lhgFtcpCy
IxyYxmDGo4g+s6KZBFmfvg0lueRXBDH2mJd1fOJg9ZekJHjLyEeGbqancLcO+zR/Mml9TmPoZPI+
/Nfy4d9z5eVcofvyh3Mli1ebXMB0fuvnuQJH2sGJBunMGxH657mi7jF3bQ3qtEYuojCzeQMabCKQ
HUXYctH7h3zNkfN2rpBCAjwhziodf1ONk+8fnCuwpmjXfJBwWpYlPMUga6PfxFTrYztHtxOcFhp1
OLNrrzzHAj25xNzTus1iXT0cuii6Q5lu7dt1K5/QynXx+219mr/t+N1yuvrKl7MYGoqC7NDJ3Lkl
1SWkU3TsNilWcew7J63IJzBEUgHxuPx+i7hqRqaCzWZBJ1aiGdGrIznKtV8fKLkWQVWUWTtp584w
xMARLK/6H4nve4coVkZSMOpwRlsTy00AEho1w3dHLaa+kDa6iXUI68dGXSl1R2lEJkOZdf20FzkN
fSyfIWHKuJBHBBSZRTRBJgOtUsXY0dFqKEThKGr1MFzng9LpF3UKyjqOnqAf3/m958I/bjFkxJY7
o0LtwzRaqqPTgYZb6rmneLdyNBwGjVbu63l6YeDFNw/kWlrUpjcejl6jHfo+OVgxdvBY7lRL5DrO
jMRgHS12qs9bVXUPTIVzirtgdFgkOVqgrL0YSwKb8picrkYyxolkkCscwSXF/+M01GgUtQOjIzWI
XQOy/GZEjyhnVaXSW7O6fFn41SE08B8c9WRgkFgqREXhXMFIw/eKsSaOkA+MErqcxRKuBa6pHIS6
NBmk0sOPsV0kdeQKbma+ajMvPOlrfQ19HOaojMFOYtCy7mjmIVC6MjX8kC1Pm0R9v1Db+LvKnusc
605NhaIStFEo55lqf5e9yqIVg5Mz9vg98s2JVRhzF0Iu21pEAdLq3klV0Vyw0uQIB4W1YWTNfmV2
Vy2YFsgXGVORjPFLkmBd4jkHaZItWs04DnvnBMbawldQC42xp0xN1zznpNkfveAsGQOMDepk39GJ
ox2N4cTgap9H0jU1HsLhXsf/FTuzsXF/JGp5r3WwBRzffuitbJEZwzVhg4L+io9Lllc45KXqkJwW
EdiKcGJpHnS0+FME3ZBocOo5xiEB/oqVBNGxQiphM2kGrnC542ozSyn7Y89Ug+W/m/HLZsze9YfN
mCTPdbmht85vvduMdUVXBGvBUNjuQFV/bsYK6c5Q4klwho+hikjSt82YSl6hfrcBZHExE9Duu82Y
HRhhJ8oTBSgZrPgfbMbEm37ejHUV5zXuC7IBh+sX1LdVuTYXkjOccd2o9mUpTueVLlcR1sCoSSgy
w96g32RIZIq6aX7Sdc0V1efCsCNUWiVYTuDLxnGf0vrBcZFQiko/1GHLTuNBq/ZVpXZO0QRmB31b
5BeqXlKQ6LV0hGmrsSDZ89YZ0YhJhvyQ4mUPXDleJAHcHLeDuCjlLXilB0vCjttpmrWi7WNF0yDr
qPdt1nwDTjdNE/Ui0nDMaBO0aglSTLn0jQPJ6smA1txqqaCzt9G4pMY0yKNLXbHXXVRcwabGvboD
55ZNaRnSzzn0nJgwy9rJz+TG/KGq6qVT8BSXlEz4vB39WMQAwj/e7ZwTGXwXKnw86b32Qo7G70mT
X3OVOAr86gciuUWYJ7zZsVOnSGmOdUM4ExA1Oub24+jEuKIMUTG11fZosLJsigyzmEpNjUUsftgO
GocIKwDE6BnrmjgtqThJ1fw2DIDMLS3HhsVPSvSNw/0YqKfcIPg/dFcC34spGLXCPq80myuF1AgZ
g8/rwSFqpwUaR1uBpJlnC3h7+xB+cIepjxoR0FiO69HGYMCw2qO0N8opvF0bdhP5GmmDqQnuysm0
tLscg0fISZ2q3+SYHTcSxW2h5/O2VxEeDGvXMucIVOqp6nqrYUiRNnjZzIqgi9b6CL1ArmNCC9Rz
txxMrIIKGZekHKxgXNlF5U4UYBXO18yclnoF39PEzJz+ThhmF42c4Ptpck7Z2BhBYDTipJxC/Fo0
iokXqHcDedeZ1El15JV1PGslGkA23Z6JXYHdBpFH7sqAe5IVp8TmJRX7qkdMaVA43/GPPCc0vEDQ
YB65nc2Fo6gIMjKCFXUBbKg2W1k9vb+ql4JZJbm4/dQEonZ1FM1zT0ddqzbwdRXM6nrd0+EKeFeW
azGnQM8P1CQh94qEgSZFEOb2owTYjoUxJdcRgYgXpuLfpZbmYouW2HNYcceJqR6Yto0OzHPO+hRP
nVhSgV18ZSnjTozSSSF0pEMfEcb9WdZLS9pxcHu66KEJm5sw0e7zoTsPdYAcxUvWbFLIqkjpRChx
isWdPA9tmBY4QLTHzlCda7n2GIpbQ5X7Bxp2Dl3onPZqehVgZThNjPEuLmoZ90zDIx81xK5PNCRr
17yrsgLtqR9jWBetwxEm2qC6i7HBZwCJpjmpdJH56QVXme9hH+0F8VzKo5u0y26wbYVv1eorvGR+
pGYDL7fOamJacc8jROKkyezvYSkdKV57CL1N5hpqzE0/P3QzA1lR1kDUwJgR14q7uhjwxciOszKJ
J51VdRPfs27rkXor8jTnoM0tZ1YluNZ1MFwmpKboZ2qUQdorRBLZv8fi87FocFT9/lgkJIgoheHz
uSh+7ee5yE2EY0wBCBANLhtg+ee5qO09s/zezsvXQxHAGRmDY1kKpDZNxCH+fSg6e/y7jFOxAv4p
y0Qo/oNDEXfdXw9F3eDwdYgW4r84unml9yQ9wJTeLIoqOU/RBOgnldrQ7RqagIMPSXGnOuACXCom
yHseMBP5MWajv+il9ArzM1azdT9gKz7PG++gJL6pyAMM+2xqvUa3TuVaYZcPEdxxFdGptR0i+LwB
AjT05Ame7qeS5EZCWlbD883OqqF+lER9ajjdo55L2dyn8Gsc6tDMDo56feSIdMITKS/OSzkzZpmv
jSiZIB3X0DEAZ0tUYBDRy6a8b/GIGZNoWMiqfS/1uGZ2tTIhh/zAsurTlAgjEq3pDBhFd9fZ0nVc
D/E0jJQrzahvPdqYCxzU7IWiaeaZh9nQHLS1RmEVlXNl8FZ0DDIa8y1bLXevIFDPMtFaptV/ha6k
mPh0nXtVPkxkY63XyUKjK13puM2JNnVJidHTty6dmp92DhK5vG0o17MelC8VnW463k5IfUyMDU1w
MIeHUq3OyjG4MWiSR1wsZ5hO0zc3zHPSKXFTo6We+AHmWjX2gaPUePtkT11VgXYK2/50fO7Iy2gi
BtGlNwo7WYYKrjeG6OHT/jqXDNxWOY+8iSFB3QKBOwp9WAehQAEKDzP4opHnNgCBWeH10xUlMFR9
aGdAYrKTnOWD7gBsFfayzFN1AZ6xQNGAaZbI6c2H2F5Ell/OQoFRmK3bzw2BWygx37UGFY/77rsL
tBEDcZhyg9FGin5XcopFCbjbqyqtRoARlZvbpBdYid6N7KTAJ8QOltNSldwFhak77QiZwBT81Beo
S19jNEjAI9q+cxLgl14IPmOqIXzqDJ69fuAoUJWj0byucXeTE+87bKw1vQaJbqoK6iPwn1YgQWRW
3uISCFCpshlb+Y0kUKO46q4lgSPxqzDUBLakCZBJUkmWUE1cMJXsKamQ7QdZfqIPzlmko5Gsh56L
MOhVQwTDvBeAltXhgi2FpQ35LCCRAtyrqzFnjbSyX9UuoYaQxkgqEkCZFoU3TTSz4uAahhvcWgGp
sdZmGOA0U7u26kVacQ81OiyDekV1pxrRDkPegTPCzU/CQJuNIHfQ2Pz5kBbQ9UH1gpSSlt41LrjP
kB/YnwsGGPX4ADHXrnTtUBqeIpkGswRumFnVHKPQcOb71twmlYMq/kkWaGNu6U/lKN85wJBQf0/z
YbhSBT6Jy4E/N3Hxo92HZ2RTrWJ9TCbBsMSoG7K4I9xGBd7Zo8C1yVAq7eFJrcofntQcdVl9EQOV
4vkX7QdpPRsBUTWHxDFF4KqGQFjDJpJpn4O6lnX9lEtJQq+9E7xOaxUU5Q9LYLUVbpoTVeC3fWcT
I9kImNWQbHxM9Vt23WJiDmU1aYGAa2hBOE2owYwN+agSOLFXNagLxvYQg8F2qgImm36/Ir2b/FeB
M9dFFVMegT1XenFgJjhD+MEouOVXtVEQVi38q3rYa4iOyYNIjZJFl7EkbPMkLgMQ9t49zWKNZK7G
7aeW5F25rn6W5c6V4+oHWj/YUxMUX1x1cYyFm+cpxT4udvEtskuCazv8T4jFhTsiFrYR3uCEz6W8
7bBsdjpU66p/36dYXDV6sE8s6CEb+uWgZ3AmEPujW20ucr1V6ZEYsxZK1AI3SG/aVpo+MUxsoOz0
EK2QPo2KGGF+exEYOh0PEG83oIK3slKZp17M77btlWGG9sGYNvfk2IHlklA64RLmkyJaoGIapSdH
h5lT+2WwwHbrgtDRe1NjbRexZVN/42CJDQk2jiSYQlR3yD7PilsM6gW6DICcDPipair8OR8x3yxj
zzbyVN4P6Qrtx0JA4gQ3NBJwcHXT/YEW3IRkFlEKUUV3GqqJusemBFM3xhRLzyVsIop9HbYn4mgW
jUFLSG+v/SG66DgTp3VIWygwQE0Ny8D4Fr3XpLHpGDehQFKFmVoujWizMbUaJNxoUO9jMSwTPypF
5rVRw2xKh0cjM86J9ln3GNRTLIZIZ2jgdKXE1GvSY8j0BblG4wnnP4b2VnqAGHJZx3kJjVJt0DBg
7oZ9R7ysxuJaU1n4cardSIN+Vgf1Y1fE+44bXnPYy0f4LyPFsJ1lBQ/fCopv5GkcaBLFIpEcPeJ9
bG8H/ORc2JtC14idNTZzHb4kM9WyHoI+w24TOeK0EP5YQ2ZfKm5SzA3DR8iLzGOe58QFtHHjLuVy
WJkSk6H2W3U/iuxvfQpByHalw8DzViWWSR6yM0xHclT4JJSnVn6eRVD08Rjz5igOH3JSZ/aRqd/p
MmrrsDDPuZp+z3QTn7S4Pxg97SmUO4s9lsQRVS3pg/apv29aqK9qk5u8nA1Mv5CLghIMzgTx2J1Z
tackTgZzzHe4C0js2v7AFQ4VUAfdJlzJqXqCZtqf1oEbTos2PwqEpxji7MUwIqRvNFF5y9FB6NX9
NLCRl8gCxShUN51mwo0MduCj72FrXdheuU/co4x3ZtvOMLYmxhHSxCCZN4mNc5vnkVyQFNI3v+yu
ocrBMw2cadbFwEsoLr2G64/H9WKm6v5VbWIn4Mb1svGaaprIzjVslXMvJmqJiL9unuQSMn8g/anW
1vu9J8W4oqZLicpJBDjI+ChX97mXgMdwnjNaHCHY0JhyNxXkpg4ATMrNJ1OWvknwZWdWIkjLTvRk
CboxfPiHdiiPHE7yyWAZD1VrLQhsILPJUw7dVEvJZmn1aW9GN16SIEXvS3VqN+Y0lBLEWPey7R1T
GOjwOqRsojThYS4sN/ImDE/VgMQVZKEwN6I7j4wI3B3Cb0oJQQAzqksrcUzCbrKl7nQ3PTUXrh4j
LO48S+dFrXnTwaCLmEQFfw5x3Rj4oTDNMv3Ihuhr2wPYpFXQGei6J7ry0Fs6SNGw/fbltrnNW5au
XyoXsZdymR60E80MsBA1MN5uovwKUo2Bkw+yoszv2afL9KTXS1Ttpn6o2PVDmMBcJuHnpui5AiaN
fD3GwWE/xN+AZJNZh/Ats+T7VlDR7A4fbqfGkoP8gOO8KvdTubcn8oALg4Mwilkbrh3hh9Ga8KL7
dD0m5eHopEhBy3Gpqukt1qyzGru8vAUUrajyrIitD5NcPEKczkIDGvAmG2sh9+WT6VPSWVlP9gY1
X4tCMojD28ZKl64LtyZKVwC492HdnOl6cZgEtTLzkn4fpwpOSo17bGFd9r4y7w36t26RXfWVcwD8
CCGFa6McntdkZKEDgK+igbu58RyriGPsrJYErE9jQ27R8YcKTqiepUYXcTqatwOeHvZpIZHXdhEb
NYqyQYQNGrn0ryjnxWDPgAX8hztoQzjyesMVlN96u4IqFsF8BO+h2+e6Z2jcAt+uoCj+DbjLNqxg
3NjfW51q5h4FkbhsGvIbI/oNJzP2BKSGZyqmQMRW6Mo/uYV+bs3ywlipyrwHGsjcRn9pzSKVlwsg
huZ0xG4fv+zmRznAbowiTCblFll3GQsiKUFWmXsS0JSbGUpXTcu0PU+qbGmh6KGGQ/fltAW9quAI
0tHJYAFvZZjEyXL02FIkYknRcqxIWF25nXqSjZSyrmx606QSUiD5psOgUq30WzyryU/2HX3fFTYc
jjTux7okIRH3QdyxB7E8CaeNPPxu2OmPfMiuW5+rVVbTNnRN83tZENeAlqh2pBs3RaiOwg5LsJM2
8o/hB/yoMpuy17HOS814iMmPmSf8YWhMAnMBoH/YKNldMsgDsTMaxO2aK2MRd+gdu+tBzcu5V3f7
uo5vmBpq3VTvghgyhv1Y+FiY2LF5XNXxt44r7tQmu82I7MsscB5pAJ1DUCAYHco4BqdhPXc7/E7z
FlwtfaC5d+cW6lmVpQ+0M3ALi0pv3uBUf1ARM+HlJNaTwqGH3o9YRVGcx3Y+60wSOLo8e+gUB74Y
mWXJgClcrmrjbCAobD8o2nKKA9ZxXYG46e4xteFsDPKSWqLbl8uONrRzIITGRJQ9BXq4tpLym4Y2
H9+d28Qb8UWxeJN8SI5cwv3oiHLE4LuYqH1hXphtdeI7/VMcOni+A3ZlsitPmzKsJrii3OiecanX
xDraQfRN99SnRjXb5RCIXzeo48n9uU0khPaZT6/eMKk9kE27TR0ugP/vMCmM6FU0qE0MmW4qvU1Y
OcZEBr3DvntftogEQOq2KGo/43qKjLrJ+dTIce2mqmHSBIFGXaBmN4mUXLgVpQXV0yFtCW9Whpgn
Gd14acXGokuN/YajbKqPhFB4EWYtct2jjRmrcBY3zDjD6qSpPTKJh4rPMFFzb96V4xUWELxqanPi
tvuu3FyNtnYYdDDbLTWGe1m43syLQ3TaTfRQZ/2tTUOLLnR+LytZSRy4Oy072v6dHBwAoSEzk/wD
OZXCmWThgifL2cIc5IUiB80UGwnnoPa7YaK19joJi2Nuru0EFmE+p5WxNL1hIF8FhRuHynVWGDgR
El/MbEwmXELuK2GuLZeKOdFHoozpPKlHekq0QQ9e7y1j1fG1WRR1N6odle28lCo/+M4wuPWZWluY
/ZmBoe2bbiKn3yzuN9lMr3MiWJwyrvwp9wLrnKZUAB5ZoCTWit67C5p8XsVMoYnu6+5pXlU0SEwu
yXBOZMPDR9nxrvxCFqYKRn+By8UhKdGBNu8t4E6K+3ic9TYJjsvGkrFIKALkv1NoBXFC719Duh0T
NW32xQIYQr2NOlkOTuI0b9hnYh+Zm2k9yB6BitOIWyVcHJReDq5VkW4UuOqrlvdNrq24ulPd1uOE
1kYVnb+cmO6PyAgIcpBJWpQmsdMTlfBvy/alZftHWsldc7/acFh+JJXgcaOzcDneBFr592GJsJV8
JOJwoSv+ol51+I4DhdDC1YPm7ftoORuPPxvyI98SiXUIW/9Byxa/nV9bthBTLM5cjmbHwL/8F1JJ
XOMYRnazfFaDKSLPMBYmkOCRKjW46ttKDjMCEBJBI3BG5Fb7GXrLaQ1WWWYGEgkBXwa6YxyXAtLU
n8HNzly0oJ2x3ecn5ShN81bW6eM+KBh7ztSkg8aBOdtodkvHtfcDK5dnmE4umgonzNQZkqnV6ddd
Wh7ogZ9+KzwP37Y8fyCTjADy/LpUdIGnIUAwveIhHpxollXcFIuuO+jzvqcXkPnphazRbw11epEa
kJTZOfO6k91p0kku4rqywQuG8AS3XlmN9+AmNoYMAwI8b8iLJcqGBIKddEmQdnzuIGwkQdyH76dx
ariDZc1cbPSmnkRVnroDCVE6uKCjPVaBSdRAcWrXARW4H90Gqvatzpx8JoXqOo+Mfu6O3nXJrhbA
KWlQaBB/rhy4hfNIYZHCCvMPIgcJkoyTNQYVSeodhaPzTUFwiuuIaEer8rfcCtXJyIdQ+0CFscvd
Ua2N1dBUPXZ51a3dYXBS5cIjj4Oj0+VzO9aVme8GF4HDHVlKOkSWw4A5BLZZTzLMMxkGmj0GR62g
pGlhddmY0N56inBMxbiQWTDYQpNgKZy5ZhbtMmEb2yBQclSL5i3BfhFqVoJcg7Syzxw1HxYxlr0T
UjuWeNY6pHmXa7UAiXZGy7uQRHNtDIwHB3bIaTGoTzGUDRNqLFwV8sedU8IqvClUciDtCCuY2iCu
KGUzPPRwQwTAZfOP7bOOFv3UNPEV9waao5FOcolCzVOqp5hw442qjcQJBTrNmiZL0Y5Ji7Dnosmd
/4eZ+9+jKGqQqDtTEoRJJlNx/aiIL5zEZJTRNYQ5BQFTcbP7BGFpA9HrkK7nhWLnT0SLzRu/XzSY
1k7TyCyncl1qSzMulrmZHPa1Mdc97WxQojMqg37qCKtdOQtv5M69NhIiW+vIyaa+ZF2XtWfwttVj
N1crbH3o1BZFIvzT5MtkqA/lLlgUUXgZBN7cbOK7Ti7vIWllWPGg1BvoSdhl1MxKITnK5JRWD4Nr
6NJhG2v6wpTBUhpniLhrW8foix9sddRmVT3c5JqK8b+S7+cVJ19Wj8Vs6Ntl5I4ysgL5tIu7e1+A
5aaAzVMzKCiB81sNPoMDsm6CsIcCarfB3GsZS5tS9HMFHA8HJ4Nl1Bz1AqofBGifDsZjDYrfFXB6
E3D9wuWOHwioHwfPRQj2b8MBwKziWoEToEjVBe8PvTxsAQfWQCnoA7zhmTe23cyBWWALikEzypeV
o/0YBPkAo/0YZ2cICYRCSUuyaOgw0EhrYS3ojbT2YTHYgs6QJ3QEJ7ogObiC7jAK4kNCPkfpYlsY
ClJEAjsilGlj2/BKqNUq2FwZJIpE0CkGQawgt+UsRMTE24N04cIUgNHQX4RoELFFlB8QUob/35yz
r4Lh2apezZ9jCS+adTlcritqo+rtCBLfPc9omH/L/t9+6M8Peg1E/Dbk6//zX6tH3AqIT6/L4KEW
19NfwhKFsPbDRff5jT2/6z8+J17R2GweeQXNFhGLKqGIXFvFF68SZyQlvHxbwhB+j4PdUZkA78ul
P43Cn//Al+H888/88c3/OgjCJ2XLQRB2GVz06fDiwSK+fh0Ekk9kVTaVnR0ElaJny0Gw9qi1VAtt
yctMoOfxYSbQ+ICPZiE9ofnwMki84rs187tV8efPerv58H5NwNr9lZP3n6wH/sy/lwOeKgb+zYD7
vx0EkDcVooGyO4OwYWcQFi5bzgd7z7Qg/uuiufRhIlDU8w2LQpop8r8/BT799cLhaOu/3iL5Wrdh
HmsvnzMuSR8HQd0j2ALzAV5+B8fAeCaGbjcDyGfS0ZgJa9OXLzbaj2PA2cC3dZqaOzoI4i643SBw
QCKm49poiGnFF7fbD4PAtohoAQsmCyrQTs4E+eWNvdip/Ty4/1GV4OypogZgFF5mwqcqQaR82dh6
6C/7zv/yqfBpS0C7sv2GaLIhsiVqsGGevz4tB5odBlIuJBq7OhNeNuxtZoKNqbEQDwmK3Yd1QKFo
4RCCFvTl6NzNswGrmq9YDcQnaRwO+m8mgrzHN4m7w4RNfO3qUIhif8vdETCMspka4Te7I7WCQUFF
GtWuDoKy9RHBOSkan7quckX6uCb0PYokwEI8/Z6/dnVf2H5zRAgIEOkgHXz5S389JlV1j9aRDQ+A
7+zkMfl6dG2xOUJDtlDl2zS0Xwbh0z1SpeltkA5jvtxZd++YVLafCc4eFFs0oZwEz18bagWQcAWj
gl3tKMgvU3SLmSCoAMD8BtqCzTNBVI048xv264Dv3kwQ2tvtDgexHPALtVSxMYivT3conbJS17hD
7WrBJHb07QaB+4PqcFHkAHxZDp+qRi6S3KFkto0d3Rjll9vdNsvB3rNQchjq2774aWPkCBWMFuj3
z6O0q8XCa/9vu6Gg06ijcX/dHvlTP9YMXKV0h8pxZ3uN+vZlo4koB+0rTYqXnWFDtcAVA7mOs6tn
hLr9NYKdga4Bt4SXMfi0PXJGINMgDkYYLuxkyfT6xrZZDlwgUBcruLd/XgcorBRLe2Xz7d4JqXzF
OrDpTKgyfdaXr18GQRHwjGOigdvVqll52aq3mQIqez+msBSNm09IxdijZqaWou8gvnb1cDC2Lxac
PYAF/lLW/PMXM+zj4SAyLvH4osm0o1uC8vLGtpkPxp6GjwEthZePW3zeHwaBfVHcNWEa7Wrb+RMB
+T/BocRn/TcQZe5ppJXSef89EKXiDsf9YWdnwvYnJIMAMI393G9wWWaCyfeorXd1Jmjb7wlktj/r
lqkENp4RdFYw6KDt8Jorv4MH5fYXCB3TQxX/qbeZ8GvByEGp6hqtaWFGxdfOnhFbH5ei28iqQDD3
WjszuB+2R+aDuE6ietvVQXhtAW5zRnCBEEYAjMPzx/3pjACNoMkGoUHwSneydta37jtrulj4gK+w
FTbuDGJ7JJ1RZyq8fX8nh+L1M9pmPqDXEX6kBlTj569f9wcWBSoeMVa7WkgLjdGWrSYN0ZJMbtRr
3fRpUaBq0gTfmtz0HV0UryjRNjNBlNBMAbxAfrMzaDQd0XDDSd/RQRCeIlvOBBqr4I8abo2bl4No
LeADKZuvre7dqxleW8LbzARmu0ye1s8Gy6c9AX4L/gSUDC847q4el+rWVyo68brzrBZ8PQg+NVvk
PcykAXFfr2+7Nx+ExfSWiwL+IkITmtCvx+WnwkkWpntoKkW+2U4elK8X3m0WBQsfCTdbw2vhxNz6
WD1iL65A49F3tvOqb3+bsPfIizSBZX7H5KElhSOjTv24qzPhpYzZZiZotN0AImzzN9QNqgWSmujA
7+xlStu+AYu1sQW/D4PGl4Py054gdk7xHxpS4mtnz4iXim6b+WCL5HkxI147Tpt2BiFex/rs5WtH
l4a2/f7AbYK7hC6MT5+/NgyF6tCWcpzdJnhpX1FJKhSSyDFf4cpfh4JdQqXdwMzZ0emgb79TWnQZ
ZYAo83eMFs5MWbSfMBfczcLhtaLZZnt4PhItA6Tml4qBGUDkss0Uee3S7ugY6NtvkdwtNYx96Tdv
vlYJubNA93e3eBIhwVuW0QZ3S+znKJVfNkeOxI8VJKoAOhBQPnd2S2AT224QaMLC92fWa78D6oht
xkCGWMwXAGAHL1TbL4dnxRii+reF/6l4gtqEdznl066WTcbWt0pmArg0oe1vewLD+nE5MAi0YOFA
vxQTuzoUr5/RNkcEDRcQGHifr0jVrycF26NALLlc7uoF+xVM3W4Q8AV2dM6A326PSAcUEnVfdqH/
aGf4D37op0B56gfx47M0mcDNTQrm3/3Am07z8/ffCY+fRZYfflJIlV9e/EWZK/7/f39ULj+rRN99
9001+vxKr7//+id+fvEPL/b2d7394wFhaqvyASOCZ2n06xs9XSVom/8n5r8eV+8losIfTFx33/5t
s8z659nw56fjzbx+e9Dy8f/8l3i4uA+8/ds2D09Wj1n59qB3D2f3+HscPwvE/6N3PhHZFG/Pefds
btNbP3u6ilctH0n19qx3z2e+b/98fP+qTx8po85N5wsentbl6q9ptjEWW+hgt36J2Tr+6zQrN44/
lcLWz5/Hf82yksnz9qx348/xvPXz98t1tSlkSuAIWz98Ea/T9O057974VyzXgya5z+LH+vPjhQBo
67e+TPJ1Gazit0f9/e4FQW77x2Pl+/aYd4/+ihV7tC43jLnAAbZ+10dB6m3YCJSvWKvHq2jDHibU
FFu/7eNVVa03jclXLNDjrPrrf1JvHa83jcxXLNGT1SMb8Ns4vJstX7FET1YkOGx49lcsUfHsPNu0
uwt3i60/1pN1+pg9BJt2LwE7f8Hzy4f149uD/h53gWRu//CM9/72nHfP/oplepJtHJOvWKU8mhis
9bDhnX/FSj1d5Rsmurhybz3gp+t29bl2REf+FUv0rFyxBby9y3cf51cs0fN49bDeUDuKdszWw3Ie
N8mm4k7As1s//DKgdKyCxw0jI9gxWz//avVQciVI6w1nqcCSvuAF0r8mawxBN73AVyzVq5V4gTJd
lY8bNzLR8P+Sv2IWrL1Nf8RXrFrxR+yzAh6C6mHTa3zF8hWvcZitimbTaSUQoi8ZpeMmqP46uw+q
fNPf8RWLWfwdJ6t6ven5X7GeeX69+muyKu9Xm2oGQVL8ipHiNaa4bm/YrEXb6ateoWzGt4f9vacK
tdr2L+CvNt4J9S9Z1H8KhH9ua2zRSbgKqoi0peZtEN4NzJes5T+FDm/93ilMkk1z5kvWb70iHzte
NdWGofmSpfunCNBth+bb2l9tGhrR0N56tv85pW3rt/4n//3tH06DKNnUlxOt3a1H5jtPaDZtY4Kz
ufXT77J4wz4vrNy2f/TvXZz/POSb2rI/Xf8+N2vf3Pw2/drHXrT4iYd4vSr/+/8CAAD//w==</cx:binary>
              </cx:geoCache>
            </cx:geography>
          </cx:layoutPr>
          <cx:valueColors>
            <cx:minColor>
              <a:schemeClr val="accent3">
                <a:lumMod val="20000"/>
                <a:lumOff val="80000"/>
              </a:schemeClr>
            </cx:minColor>
            <cx:maxColor>
              <a:schemeClr val="accent3">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942975</xdr:colOff>
      <xdr:row>0</xdr:row>
      <xdr:rowOff>0</xdr:rowOff>
    </xdr:from>
    <xdr:to>
      <xdr:col>25</xdr:col>
      <xdr:colOff>268605</xdr:colOff>
      <xdr:row>40</xdr:row>
      <xdr:rowOff>7620</xdr:rowOff>
    </xdr:to>
    <xdr:sp macro="" textlink="">
      <xdr:nvSpPr>
        <xdr:cNvPr id="4" name="Rectangle 3">
          <a:extLst>
            <a:ext uri="{FF2B5EF4-FFF2-40B4-BE49-F238E27FC236}">
              <a16:creationId xmlns:a16="http://schemas.microsoft.com/office/drawing/2014/main" id="{DCF2FE4F-7C0C-BA97-BF02-EFB4FC006914}"/>
            </a:ext>
          </a:extLst>
        </xdr:cNvPr>
        <xdr:cNvSpPr/>
      </xdr:nvSpPr>
      <xdr:spPr>
        <a:xfrm>
          <a:off x="1247775" y="0"/>
          <a:ext cx="14013180" cy="7246620"/>
        </a:xfrm>
        <a:prstGeom prst="rect">
          <a:avLst/>
        </a:prstGeom>
        <a:solidFill>
          <a:schemeClr val="accent5">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gradFill>
                <a:gsLst>
                  <a:gs pos="21000">
                    <a:srgbClr val="F4F4F4"/>
                  </a:gs>
                  <a:gs pos="0">
                    <a:schemeClr val="bg1"/>
                  </a:gs>
                  <a:gs pos="75000">
                    <a:schemeClr val="bg1">
                      <a:lumMod val="85000"/>
                    </a:schemeClr>
                  </a:gs>
                </a:gsLst>
                <a:lin ang="0" scaled="0"/>
              </a:gradFill>
            </a:rPr>
            <a:t> </a:t>
          </a:r>
        </a:p>
      </xdr:txBody>
    </xdr:sp>
    <xdr:clientData/>
  </xdr:twoCellAnchor>
  <xdr:twoCellAnchor>
    <xdr:from>
      <xdr:col>0</xdr:col>
      <xdr:colOff>0</xdr:colOff>
      <xdr:row>0</xdr:row>
      <xdr:rowOff>0</xdr:rowOff>
    </xdr:from>
    <xdr:to>
      <xdr:col>3</xdr:col>
      <xdr:colOff>0</xdr:colOff>
      <xdr:row>40</xdr:row>
      <xdr:rowOff>0</xdr:rowOff>
    </xdr:to>
    <xdr:sp macro="" textlink="">
      <xdr:nvSpPr>
        <xdr:cNvPr id="3" name="Rectangle 2">
          <a:extLst>
            <a:ext uri="{FF2B5EF4-FFF2-40B4-BE49-F238E27FC236}">
              <a16:creationId xmlns:a16="http://schemas.microsoft.com/office/drawing/2014/main" id="{E663C43D-75D1-416A-7F2F-43724A870344}"/>
            </a:ext>
          </a:extLst>
        </xdr:cNvPr>
        <xdr:cNvSpPr/>
      </xdr:nvSpPr>
      <xdr:spPr>
        <a:xfrm>
          <a:off x="0" y="0"/>
          <a:ext cx="1578429" cy="7402286"/>
        </a:xfrm>
        <a:prstGeom prst="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2</xdr:row>
      <xdr:rowOff>117928</xdr:rowOff>
    </xdr:from>
    <xdr:to>
      <xdr:col>2</xdr:col>
      <xdr:colOff>121920</xdr:colOff>
      <xdr:row>5</xdr:row>
      <xdr:rowOff>3628</xdr:rowOff>
    </xdr:to>
    <xdr:sp macro="" textlink="Pivot!H4">
      <xdr:nvSpPr>
        <xdr:cNvPr id="5" name="TextBox 4">
          <a:extLst>
            <a:ext uri="{FF2B5EF4-FFF2-40B4-BE49-F238E27FC236}">
              <a16:creationId xmlns:a16="http://schemas.microsoft.com/office/drawing/2014/main" id="{A5ECFDAF-033C-494B-F1B0-54CDC02878A8}"/>
            </a:ext>
          </a:extLst>
        </xdr:cNvPr>
        <xdr:cNvSpPr txBox="1"/>
      </xdr:nvSpPr>
      <xdr:spPr>
        <a:xfrm>
          <a:off x="99060" y="488042"/>
          <a:ext cx="1296489" cy="4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34A716-DDFE-4EB9-B717-956D95AB474A}" type="TxLink">
            <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2,400</a:t>
          </a:fld>
          <a:endPar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99060</xdr:colOff>
      <xdr:row>9</xdr:row>
      <xdr:rowOff>147682</xdr:rowOff>
    </xdr:from>
    <xdr:to>
      <xdr:col>2</xdr:col>
      <xdr:colOff>99060</xdr:colOff>
      <xdr:row>12</xdr:row>
      <xdr:rowOff>15964</xdr:rowOff>
    </xdr:to>
    <xdr:sp macro="" textlink="Pivot!J4">
      <xdr:nvSpPr>
        <xdr:cNvPr id="6" name="TextBox 5">
          <a:extLst>
            <a:ext uri="{FF2B5EF4-FFF2-40B4-BE49-F238E27FC236}">
              <a16:creationId xmlns:a16="http://schemas.microsoft.com/office/drawing/2014/main" id="{BDE5222E-350D-4B88-8254-F7B826D26A9F}"/>
            </a:ext>
          </a:extLst>
        </xdr:cNvPr>
        <xdr:cNvSpPr txBox="1"/>
      </xdr:nvSpPr>
      <xdr:spPr>
        <a:xfrm>
          <a:off x="99060" y="1813196"/>
          <a:ext cx="1273629" cy="4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63E46-FDBF-4E66-AF8C-C38C8850493A}" type="TxLink">
            <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$649.0k</a:t>
          </a:fld>
          <a:endPar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99060</xdr:colOff>
      <xdr:row>6</xdr:row>
      <xdr:rowOff>55516</xdr:rowOff>
    </xdr:from>
    <xdr:to>
      <xdr:col>2</xdr:col>
      <xdr:colOff>114300</xdr:colOff>
      <xdr:row>8</xdr:row>
      <xdr:rowOff>111033</xdr:rowOff>
    </xdr:to>
    <xdr:sp macro="" textlink="Pivot!I4">
      <xdr:nvSpPr>
        <xdr:cNvPr id="7" name="TextBox 6">
          <a:extLst>
            <a:ext uri="{FF2B5EF4-FFF2-40B4-BE49-F238E27FC236}">
              <a16:creationId xmlns:a16="http://schemas.microsoft.com/office/drawing/2014/main" id="{70D6CBBA-EE9B-4C0B-9F25-CE6BBC4FCB83}"/>
            </a:ext>
          </a:extLst>
        </xdr:cNvPr>
        <xdr:cNvSpPr txBox="1"/>
      </xdr:nvSpPr>
      <xdr:spPr>
        <a:xfrm>
          <a:off x="99060" y="1165859"/>
          <a:ext cx="1288869" cy="425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8B05E7-C986-49A7-9521-B17B683F981C}" type="TxLink">
            <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11,997</a:t>
          </a:fld>
          <a:endPar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99060</xdr:colOff>
      <xdr:row>13</xdr:row>
      <xdr:rowOff>70029</xdr:rowOff>
    </xdr:from>
    <xdr:to>
      <xdr:col>2</xdr:col>
      <xdr:colOff>106680</xdr:colOff>
      <xdr:row>15</xdr:row>
      <xdr:rowOff>123369</xdr:rowOff>
    </xdr:to>
    <xdr:sp macro="" textlink="Pivot!K4">
      <xdr:nvSpPr>
        <xdr:cNvPr id="8" name="TextBox 7">
          <a:extLst>
            <a:ext uri="{FF2B5EF4-FFF2-40B4-BE49-F238E27FC236}">
              <a16:creationId xmlns:a16="http://schemas.microsoft.com/office/drawing/2014/main" id="{2DA95D9E-4B2E-40A2-BA73-09AB85359BA0}"/>
            </a:ext>
          </a:extLst>
        </xdr:cNvPr>
        <xdr:cNvSpPr txBox="1"/>
      </xdr:nvSpPr>
      <xdr:spPr>
        <a:xfrm>
          <a:off x="99060" y="2475772"/>
          <a:ext cx="1281249" cy="4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4C7731-FDB4-4514-A824-49E14807D74F}" type="TxLink">
            <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99060</xdr:colOff>
      <xdr:row>16</xdr:row>
      <xdr:rowOff>154579</xdr:rowOff>
    </xdr:from>
    <xdr:to>
      <xdr:col>2</xdr:col>
      <xdr:colOff>114300</xdr:colOff>
      <xdr:row>19</xdr:row>
      <xdr:rowOff>22861</xdr:rowOff>
    </xdr:to>
    <xdr:sp macro="" textlink="Pivot!L4">
      <xdr:nvSpPr>
        <xdr:cNvPr id="9" name="TextBox 8">
          <a:extLst>
            <a:ext uri="{FF2B5EF4-FFF2-40B4-BE49-F238E27FC236}">
              <a16:creationId xmlns:a16="http://schemas.microsoft.com/office/drawing/2014/main" id="{3119C387-C18A-4891-B546-550A0D68C9EF}"/>
            </a:ext>
          </a:extLst>
        </xdr:cNvPr>
        <xdr:cNvSpPr txBox="1"/>
      </xdr:nvSpPr>
      <xdr:spPr>
        <a:xfrm>
          <a:off x="99060" y="3115493"/>
          <a:ext cx="1288869" cy="4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3B8A20-EA34-41DF-AE14-68C5B7E4807B}" type="TxLink">
            <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2.3</a:t>
          </a:fld>
          <a:endParaRPr lang="en-US" sz="1800" b="1" i="0" u="none" strike="noStrike">
            <a:ln>
              <a:gradFill>
                <a:gsLst>
                  <a:gs pos="0">
                    <a:schemeClr val="bg1"/>
                  </a:gs>
                  <a:gs pos="75000">
                    <a:schemeClr val="bg1">
                      <a:lumMod val="75000"/>
                    </a:schemeClr>
                  </a:gs>
                </a:gsLst>
                <a:lin ang="5400000" scaled="1"/>
              </a:gradFill>
            </a:ln>
            <a:gradFill>
              <a:gsLst>
                <a:gs pos="0">
                  <a:schemeClr val="bg1"/>
                </a:gs>
                <a:gs pos="90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99060</xdr:colOff>
      <xdr:row>1</xdr:row>
      <xdr:rowOff>50074</xdr:rowOff>
    </xdr:from>
    <xdr:to>
      <xdr:col>1</xdr:col>
      <xdr:colOff>792480</xdr:colOff>
      <xdr:row>2</xdr:row>
      <xdr:rowOff>141514</xdr:rowOff>
    </xdr:to>
    <xdr:sp macro="" textlink="">
      <xdr:nvSpPr>
        <xdr:cNvPr id="10" name="TextBox 9">
          <a:extLst>
            <a:ext uri="{FF2B5EF4-FFF2-40B4-BE49-F238E27FC236}">
              <a16:creationId xmlns:a16="http://schemas.microsoft.com/office/drawing/2014/main" id="{882B3436-D49D-D970-E9B2-FFB5C8CAFE6B}"/>
            </a:ext>
          </a:extLst>
        </xdr:cNvPr>
        <xdr:cNvSpPr txBox="1"/>
      </xdr:nvSpPr>
      <xdr:spPr>
        <a:xfrm>
          <a:off x="99060" y="235131"/>
          <a:ext cx="998220" cy="27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200" b="1">
              <a:gradFill>
                <a:gsLst>
                  <a:gs pos="0">
                    <a:schemeClr val="bg1"/>
                  </a:gs>
                  <a:gs pos="83000">
                    <a:schemeClr val="bg1">
                      <a:lumMod val="85000"/>
                    </a:schemeClr>
                  </a:gs>
                </a:gsLst>
                <a:lin ang="5400000" scaled="1"/>
              </a:gradFill>
              <a:effectLst>
                <a:outerShdw blurRad="50800" dist="38100" dir="2700000" algn="tl" rotWithShape="0">
                  <a:prstClr val="black">
                    <a:alpha val="40000"/>
                  </a:prstClr>
                </a:outerShdw>
              </a:effectLst>
            </a:rPr>
            <a:t>Orders</a:t>
          </a:r>
          <a:endParaRPr lang="en-IN" sz="1100" b="1">
            <a:gradFill>
              <a:gsLst>
                <a:gs pos="0">
                  <a:schemeClr val="bg1"/>
                </a:gs>
                <a:gs pos="83000">
                  <a:schemeClr val="bg1">
                    <a:lumMod val="85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0</xdr:col>
      <xdr:colOff>99060</xdr:colOff>
      <xdr:row>4</xdr:row>
      <xdr:rowOff>165099</xdr:rowOff>
    </xdr:from>
    <xdr:to>
      <xdr:col>1</xdr:col>
      <xdr:colOff>830580</xdr:colOff>
      <xdr:row>6</xdr:row>
      <xdr:rowOff>79102</xdr:rowOff>
    </xdr:to>
    <xdr:sp macro="" textlink="">
      <xdr:nvSpPr>
        <xdr:cNvPr id="18" name="TextBox 17">
          <a:extLst>
            <a:ext uri="{FF2B5EF4-FFF2-40B4-BE49-F238E27FC236}">
              <a16:creationId xmlns:a16="http://schemas.microsoft.com/office/drawing/2014/main" id="{9246EBB3-E607-E07E-E174-FFDBE01CACC2}"/>
            </a:ext>
          </a:extLst>
        </xdr:cNvPr>
        <xdr:cNvSpPr txBox="1"/>
      </xdr:nvSpPr>
      <xdr:spPr>
        <a:xfrm>
          <a:off x="99060" y="905328"/>
          <a:ext cx="1036320" cy="28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200" b="1">
              <a:gradFill>
                <a:gsLst>
                  <a:gs pos="0">
                    <a:schemeClr val="bg1"/>
                  </a:gs>
                  <a:gs pos="75000">
                    <a:schemeClr val="bg1">
                      <a:lumMod val="85000"/>
                    </a:schemeClr>
                  </a:gs>
                </a:gsLst>
                <a:lin ang="0" scaled="0"/>
              </a:gradFill>
              <a:effectLst>
                <a:outerShdw blurRad="50800" dist="38100" dir="2700000" algn="tl" rotWithShape="0">
                  <a:prstClr val="black">
                    <a:alpha val="40000"/>
                  </a:prstClr>
                </a:outerShdw>
              </a:effectLst>
            </a:rPr>
            <a:t>Quantity</a:t>
          </a:r>
          <a:endParaRPr lang="en-IN" sz="1100" b="1">
            <a:gradFill>
              <a:gsLst>
                <a:gs pos="0">
                  <a:schemeClr val="bg1"/>
                </a:gs>
                <a:gs pos="75000">
                  <a:schemeClr val="bg1">
                    <a:lumMod val="85000"/>
                  </a:schemeClr>
                </a:gs>
              </a:gsLst>
              <a:lin ang="0" scaled="0"/>
            </a:gradFill>
            <a:effectLst>
              <a:outerShdw blurRad="50800" dist="38100" dir="2700000" algn="tl" rotWithShape="0">
                <a:prstClr val="black">
                  <a:alpha val="40000"/>
                </a:prstClr>
              </a:outerShdw>
            </a:effectLst>
          </a:endParaRPr>
        </a:p>
      </xdr:txBody>
    </xdr:sp>
    <xdr:clientData/>
  </xdr:twoCellAnchor>
  <xdr:twoCellAnchor>
    <xdr:from>
      <xdr:col>0</xdr:col>
      <xdr:colOff>99060</xdr:colOff>
      <xdr:row>8</xdr:row>
      <xdr:rowOff>87447</xdr:rowOff>
    </xdr:from>
    <xdr:to>
      <xdr:col>1</xdr:col>
      <xdr:colOff>845820</xdr:colOff>
      <xdr:row>9</xdr:row>
      <xdr:rowOff>171268</xdr:rowOff>
    </xdr:to>
    <xdr:sp macro="" textlink="">
      <xdr:nvSpPr>
        <xdr:cNvPr id="21" name="TextBox 20">
          <a:extLst>
            <a:ext uri="{FF2B5EF4-FFF2-40B4-BE49-F238E27FC236}">
              <a16:creationId xmlns:a16="http://schemas.microsoft.com/office/drawing/2014/main" id="{B84F7593-1AA8-E2F0-CBCE-F622DD57B920}"/>
            </a:ext>
          </a:extLst>
        </xdr:cNvPr>
        <xdr:cNvSpPr txBox="1"/>
      </xdr:nvSpPr>
      <xdr:spPr>
        <a:xfrm>
          <a:off x="99060" y="1567904"/>
          <a:ext cx="1051560" cy="26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b="1">
              <a:gradFill>
                <a:gsLst>
                  <a:gs pos="0">
                    <a:schemeClr val="bg1"/>
                  </a:gs>
                  <a:gs pos="80000">
                    <a:schemeClr val="bg1">
                      <a:lumMod val="85000"/>
                    </a:schemeClr>
                  </a:gs>
                </a:gsLst>
                <a:lin ang="0" scaled="0"/>
              </a:gradFill>
              <a:effectLst>
                <a:outerShdw blurRad="50800" dist="38100" dir="2700000" algn="tl" rotWithShape="0">
                  <a:prstClr val="black">
                    <a:alpha val="40000"/>
                  </a:prstClr>
                </a:outerShdw>
              </a:effectLst>
            </a:rPr>
            <a:t>Amount</a:t>
          </a:r>
          <a:endParaRPr lang="en-IN" sz="1100" b="1">
            <a:gradFill>
              <a:gsLst>
                <a:gs pos="0">
                  <a:schemeClr val="bg1"/>
                </a:gs>
                <a:gs pos="80000">
                  <a:schemeClr val="bg1">
                    <a:lumMod val="85000"/>
                  </a:schemeClr>
                </a:gs>
              </a:gsLst>
              <a:lin ang="0" scaled="0"/>
            </a:gradFill>
            <a:effectLst>
              <a:outerShdw blurRad="50800" dist="38100" dir="2700000" algn="tl" rotWithShape="0">
                <a:prstClr val="black">
                  <a:alpha val="40000"/>
                </a:prstClr>
              </a:outerShdw>
            </a:effectLst>
          </a:endParaRPr>
        </a:p>
      </xdr:txBody>
    </xdr:sp>
    <xdr:clientData/>
  </xdr:twoCellAnchor>
  <xdr:twoCellAnchor>
    <xdr:from>
      <xdr:col>0</xdr:col>
      <xdr:colOff>99060</xdr:colOff>
      <xdr:row>11</xdr:row>
      <xdr:rowOff>177435</xdr:rowOff>
    </xdr:from>
    <xdr:to>
      <xdr:col>1</xdr:col>
      <xdr:colOff>906780</xdr:colOff>
      <xdr:row>13</xdr:row>
      <xdr:rowOff>93615</xdr:rowOff>
    </xdr:to>
    <xdr:sp macro="" textlink="">
      <xdr:nvSpPr>
        <xdr:cNvPr id="22" name="TextBox 21">
          <a:extLst>
            <a:ext uri="{FF2B5EF4-FFF2-40B4-BE49-F238E27FC236}">
              <a16:creationId xmlns:a16="http://schemas.microsoft.com/office/drawing/2014/main" id="{C86E636D-491C-4801-ADC8-457958AF7934}"/>
            </a:ext>
          </a:extLst>
        </xdr:cNvPr>
        <xdr:cNvSpPr txBox="1"/>
      </xdr:nvSpPr>
      <xdr:spPr>
        <a:xfrm>
          <a:off x="99060" y="2213064"/>
          <a:ext cx="1112520" cy="28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200" b="1">
              <a:gradFill>
                <a:gsLst>
                  <a:gs pos="0">
                    <a:schemeClr val="bg1"/>
                  </a:gs>
                  <a:gs pos="80000">
                    <a:schemeClr val="bg1">
                      <a:lumMod val="85000"/>
                    </a:schemeClr>
                  </a:gs>
                </a:gsLst>
                <a:lin ang="0" scaled="0"/>
              </a:gradFill>
              <a:effectLst>
                <a:outerShdw blurRad="50800" dist="38100" dir="2700000" algn="tl" rotWithShape="0">
                  <a:prstClr val="black">
                    <a:alpha val="40000"/>
                  </a:prstClr>
                </a:outerShdw>
              </a:effectLst>
            </a:rPr>
            <a:t>Avg. Rating </a:t>
          </a:r>
          <a:endParaRPr lang="en-IN" sz="1100" b="1">
            <a:gradFill>
              <a:gsLst>
                <a:gs pos="0">
                  <a:schemeClr val="bg1"/>
                </a:gs>
                <a:gs pos="80000">
                  <a:schemeClr val="bg1">
                    <a:lumMod val="85000"/>
                  </a:schemeClr>
                </a:gs>
              </a:gsLst>
              <a:lin ang="0" scaled="0"/>
            </a:gradFill>
            <a:effectLst>
              <a:outerShdw blurRad="50800" dist="38100" dir="2700000" algn="tl" rotWithShape="0">
                <a:prstClr val="black">
                  <a:alpha val="40000"/>
                </a:prstClr>
              </a:outerShdw>
            </a:effectLst>
          </a:endParaRPr>
        </a:p>
      </xdr:txBody>
    </xdr:sp>
    <xdr:clientData/>
  </xdr:twoCellAnchor>
  <xdr:twoCellAnchor>
    <xdr:from>
      <xdr:col>0</xdr:col>
      <xdr:colOff>99060</xdr:colOff>
      <xdr:row>15</xdr:row>
      <xdr:rowOff>99783</xdr:rowOff>
    </xdr:from>
    <xdr:to>
      <xdr:col>2</xdr:col>
      <xdr:colOff>182880</xdr:colOff>
      <xdr:row>16</xdr:row>
      <xdr:rowOff>178161</xdr:rowOff>
    </xdr:to>
    <xdr:sp macro="" textlink="">
      <xdr:nvSpPr>
        <xdr:cNvPr id="23" name="TextBox 22">
          <a:extLst>
            <a:ext uri="{FF2B5EF4-FFF2-40B4-BE49-F238E27FC236}">
              <a16:creationId xmlns:a16="http://schemas.microsoft.com/office/drawing/2014/main" id="{13AD020D-F7CB-46BF-BD2A-CB30CE4A4C7C}"/>
            </a:ext>
          </a:extLst>
        </xdr:cNvPr>
        <xdr:cNvSpPr txBox="1"/>
      </xdr:nvSpPr>
      <xdr:spPr>
        <a:xfrm>
          <a:off x="99060" y="2875640"/>
          <a:ext cx="1357449" cy="26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200" b="1">
              <a:gradFill>
                <a:gsLst>
                  <a:gs pos="0">
                    <a:schemeClr val="bg1"/>
                  </a:gs>
                  <a:gs pos="80000">
                    <a:schemeClr val="bg1">
                      <a:lumMod val="85000"/>
                    </a:schemeClr>
                  </a:gs>
                </a:gsLst>
                <a:lin ang="0" scaled="0"/>
              </a:gradFill>
              <a:effectLst>
                <a:outerShdw blurRad="50800" dist="50800" dir="2700000" algn="tl" rotWithShape="0">
                  <a:prstClr val="black">
                    <a:alpha val="40000"/>
                  </a:prstClr>
                </a:outerShdw>
              </a:effectLst>
            </a:rPr>
            <a:t>Days</a:t>
          </a:r>
          <a:r>
            <a:rPr lang="en-IN" sz="1200" b="1" baseline="0">
              <a:gradFill>
                <a:gsLst>
                  <a:gs pos="0">
                    <a:schemeClr val="bg1"/>
                  </a:gs>
                  <a:gs pos="80000">
                    <a:schemeClr val="bg1">
                      <a:lumMod val="85000"/>
                    </a:schemeClr>
                  </a:gs>
                </a:gsLst>
                <a:lin ang="0" scaled="0"/>
              </a:gradFill>
              <a:effectLst>
                <a:outerShdw blurRad="50800" dist="50800" dir="2700000" algn="tl" rotWithShape="0">
                  <a:prstClr val="black">
                    <a:alpha val="40000"/>
                  </a:prstClr>
                </a:outerShdw>
              </a:effectLst>
            </a:rPr>
            <a:t> to Deliver</a:t>
          </a:r>
          <a:endParaRPr lang="en-IN" sz="1100" b="1">
            <a:gradFill>
              <a:gsLst>
                <a:gs pos="0">
                  <a:schemeClr val="bg1"/>
                </a:gs>
                <a:gs pos="80000">
                  <a:schemeClr val="bg1">
                    <a:lumMod val="85000"/>
                  </a:schemeClr>
                </a:gs>
              </a:gsLst>
              <a:lin ang="0" scaled="0"/>
            </a:gradFill>
            <a:effectLst>
              <a:outerShdw blurRad="50800" dist="50800" dir="2700000" algn="tl" rotWithShape="0">
                <a:prstClr val="black">
                  <a:alpha val="40000"/>
                </a:prstClr>
              </a:outerShdw>
            </a:effectLst>
          </a:endParaRPr>
        </a:p>
      </xdr:txBody>
    </xdr:sp>
    <xdr:clientData/>
  </xdr:twoCellAnchor>
  <xdr:twoCellAnchor>
    <xdr:from>
      <xdr:col>3</xdr:col>
      <xdr:colOff>236219</xdr:colOff>
      <xdr:row>1</xdr:row>
      <xdr:rowOff>83820</xdr:rowOff>
    </xdr:from>
    <xdr:to>
      <xdr:col>9</xdr:col>
      <xdr:colOff>257174</xdr:colOff>
      <xdr:row>15</xdr:row>
      <xdr:rowOff>9525</xdr:rowOff>
    </xdr:to>
    <xdr:graphicFrame macro="">
      <xdr:nvGraphicFramePr>
        <xdr:cNvPr id="2" name="Chart 1">
          <a:extLst>
            <a:ext uri="{FF2B5EF4-FFF2-40B4-BE49-F238E27FC236}">
              <a16:creationId xmlns:a16="http://schemas.microsoft.com/office/drawing/2014/main" id="{054CE58B-7AA8-439B-9408-85CF293A3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108585</xdr:colOff>
      <xdr:row>1</xdr:row>
      <xdr:rowOff>95249</xdr:rowOff>
    </xdr:from>
    <xdr:to>
      <xdr:col>16</xdr:col>
      <xdr:colOff>466725</xdr:colOff>
      <xdr:row>14</xdr:row>
      <xdr:rowOff>161925</xdr:rowOff>
    </xdr:to>
    <xdr:sp macro="" textlink="">
      <xdr:nvSpPr>
        <xdr:cNvPr id="13" name="Rectangle 12">
          <a:extLst>
            <a:ext uri="{FF2B5EF4-FFF2-40B4-BE49-F238E27FC236}">
              <a16:creationId xmlns:a16="http://schemas.microsoft.com/office/drawing/2014/main" id="{5AB18AD2-6D8B-FEA0-F51B-F977B5E5AFF0}"/>
            </a:ext>
          </a:extLst>
        </xdr:cNvPr>
        <xdr:cNvSpPr/>
      </xdr:nvSpPr>
      <xdr:spPr>
        <a:xfrm>
          <a:off x="5956935" y="276224"/>
          <a:ext cx="4015740" cy="241935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500658</xdr:colOff>
          <xdr:row>2</xdr:row>
          <xdr:rowOff>165071</xdr:rowOff>
        </xdr:from>
        <xdr:to>
          <xdr:col>16</xdr:col>
          <xdr:colOff>152399</xdr:colOff>
          <xdr:row>12</xdr:row>
          <xdr:rowOff>161925</xdr:rowOff>
        </xdr:to>
        <xdr:pic>
          <xdr:nvPicPr>
            <xdr:cNvPr id="12" name="Picture 11">
              <a:extLst>
                <a:ext uri="{FF2B5EF4-FFF2-40B4-BE49-F238E27FC236}">
                  <a16:creationId xmlns:a16="http://schemas.microsoft.com/office/drawing/2014/main" id="{68BEDD7E-35E0-C362-A50D-DB44B925AABE}"/>
                </a:ext>
              </a:extLst>
            </xdr:cNvPr>
            <xdr:cNvPicPr>
              <a:picLocks noChangeAspect="1" noChangeArrowheads="1"/>
              <a:extLst>
                <a:ext uri="{84589F7E-364E-4C9E-8A38-B11213B215E9}">
                  <a14:cameraTool cellRange="Sheet1!$H$4:$L$9" spid="_x0000_s1046"/>
                </a:ext>
              </a:extLst>
            </xdr:cNvPicPr>
          </xdr:nvPicPr>
          <xdr:blipFill>
            <a:blip xmlns:r="http://schemas.openxmlformats.org/officeDocument/2006/relationships" r:embed="rId2"/>
            <a:srcRect/>
            <a:stretch>
              <a:fillRect/>
            </a:stretch>
          </xdr:blipFill>
          <xdr:spPr bwMode="auto">
            <a:xfrm>
              <a:off x="6349008" y="527021"/>
              <a:ext cx="3309341" cy="180660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542924</xdr:colOff>
      <xdr:row>1</xdr:row>
      <xdr:rowOff>53340</xdr:rowOff>
    </xdr:from>
    <xdr:to>
      <xdr:col>23</xdr:col>
      <xdr:colOff>390525</xdr:colOff>
      <xdr:row>15</xdr:row>
      <xdr:rowOff>0</xdr:rowOff>
    </xdr:to>
    <xdr:graphicFrame macro="">
      <xdr:nvGraphicFramePr>
        <xdr:cNvPr id="14" name="Chart 13">
          <a:extLst>
            <a:ext uri="{FF2B5EF4-FFF2-40B4-BE49-F238E27FC236}">
              <a16:creationId xmlns:a16="http://schemas.microsoft.com/office/drawing/2014/main" id="{BA2AC431-778F-4247-8428-36F5EC925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209550</xdr:colOff>
      <xdr:row>17</xdr:row>
      <xdr:rowOff>32657</xdr:rowOff>
    </xdr:from>
    <xdr:to>
      <xdr:col>9</xdr:col>
      <xdr:colOff>247650</xdr:colOff>
      <xdr:row>39</xdr:row>
      <xdr:rowOff>10884</xdr:rowOff>
    </xdr:to>
    <xdr:graphicFrame macro="">
      <xdr:nvGraphicFramePr>
        <xdr:cNvPr id="15" name="Chart 14">
          <a:extLst>
            <a:ext uri="{FF2B5EF4-FFF2-40B4-BE49-F238E27FC236}">
              <a16:creationId xmlns:a16="http://schemas.microsoft.com/office/drawing/2014/main" id="{22E5F7E5-082A-4ECD-97ED-532042C53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526870</xdr:colOff>
      <xdr:row>29</xdr:row>
      <xdr:rowOff>3266</xdr:rowOff>
    </xdr:from>
    <xdr:to>
      <xdr:col>7</xdr:col>
      <xdr:colOff>199210</xdr:colOff>
      <xdr:row>36</xdr:row>
      <xdr:rowOff>127363</xdr:rowOff>
    </xdr:to>
    <xdr:graphicFrame macro="">
      <xdr:nvGraphicFramePr>
        <xdr:cNvPr id="11" name="Chart 10">
          <a:extLst>
            <a:ext uri="{FF2B5EF4-FFF2-40B4-BE49-F238E27FC236}">
              <a16:creationId xmlns:a16="http://schemas.microsoft.com/office/drawing/2014/main" id="{0DF97F72-2CB9-43CC-8795-EE8BB42B9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137432</xdr:colOff>
      <xdr:row>17</xdr:row>
      <xdr:rowOff>1</xdr:rowOff>
    </xdr:from>
    <xdr:to>
      <xdr:col>16</xdr:col>
      <xdr:colOff>424542</xdr:colOff>
      <xdr:row>39</xdr:row>
      <xdr:rowOff>32657</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D2F8D304-B68C-4B88-9EC0-58B5CCBFC6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81972" y="3108961"/>
              <a:ext cx="3944710" cy="40560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202746</xdr:colOff>
      <xdr:row>21</xdr:row>
      <xdr:rowOff>130628</xdr:rowOff>
    </xdr:from>
    <xdr:to>
      <xdr:col>16</xdr:col>
      <xdr:colOff>174172</xdr:colOff>
      <xdr:row>28</xdr:row>
      <xdr:rowOff>174171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D2BAD81F-8DA1-4303-9270-AE81CB4597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485686" y="3971108"/>
              <a:ext cx="1190626" cy="13237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555170</xdr:colOff>
      <xdr:row>16</xdr:row>
      <xdr:rowOff>174172</xdr:rowOff>
    </xdr:from>
    <xdr:to>
      <xdr:col>23</xdr:col>
      <xdr:colOff>424541</xdr:colOff>
      <xdr:row>27</xdr:row>
      <xdr:rowOff>54428</xdr:rowOff>
    </xdr:to>
    <xdr:graphicFrame macro="">
      <xdr:nvGraphicFramePr>
        <xdr:cNvPr id="19" name="Chart 18">
          <a:extLst>
            <a:ext uri="{FF2B5EF4-FFF2-40B4-BE49-F238E27FC236}">
              <a16:creationId xmlns:a16="http://schemas.microsoft.com/office/drawing/2014/main" id="{9583B339-CFE1-47D9-95CC-52BE2D2C7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540204</xdr:colOff>
      <xdr:row>28</xdr:row>
      <xdr:rowOff>152400</xdr:rowOff>
    </xdr:from>
    <xdr:to>
      <xdr:col>23</xdr:col>
      <xdr:colOff>468085</xdr:colOff>
      <xdr:row>38</xdr:row>
      <xdr:rowOff>130630</xdr:rowOff>
    </xdr:to>
    <xdr:graphicFrame macro="">
      <xdr:nvGraphicFramePr>
        <xdr:cNvPr id="20" name="Chart 19">
          <a:extLst>
            <a:ext uri="{FF2B5EF4-FFF2-40B4-BE49-F238E27FC236}">
              <a16:creationId xmlns:a16="http://schemas.microsoft.com/office/drawing/2014/main" id="{22768CE5-687E-4704-952B-C41777C28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65315</xdr:colOff>
      <xdr:row>20</xdr:row>
      <xdr:rowOff>10887</xdr:rowOff>
    </xdr:from>
    <xdr:to>
      <xdr:col>2</xdr:col>
      <xdr:colOff>163286</xdr:colOff>
      <xdr:row>29</xdr:row>
      <xdr:rowOff>119743</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3DDB6A2C-2A1D-4951-A84C-1208BE8B2FA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5315" y="3712030"/>
              <a:ext cx="1371600" cy="1774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65316</xdr:colOff>
      <xdr:row>31</xdr:row>
      <xdr:rowOff>65316</xdr:rowOff>
    </xdr:from>
    <xdr:to>
      <xdr:col>2</xdr:col>
      <xdr:colOff>130629</xdr:colOff>
      <xdr:row>39</xdr:row>
      <xdr:rowOff>43542</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D05F109E-B0FD-40DF-BF09-92AA81810F3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5316" y="5802087"/>
              <a:ext cx="1338942" cy="1458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Thiyagarajan" refreshedDate="45987.444962499998" createdVersion="8" refreshedVersion="8" minRefreshableVersion="3" recordCount="2400" xr:uid="{37CB38A4-95F2-43F8-ACED-C4ACB274A430}">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93384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A15E3-6103-473D-8766-52592266C3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0E2C2-5072-4FEB-AE06-0266A22577B9}" name="Pivot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40C41-E654-4ADA-B92A-A554D57E2122}" name="Pivo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3:J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4" count="1" selected="0">
            <x v="0"/>
          </reference>
        </references>
      </pivotArea>
    </chartFormat>
    <chartFormat chart="24" format="8">
      <pivotArea type="data" outline="0" fieldPosition="0">
        <references count="2">
          <reference field="4294967294" count="1" selected="0">
            <x v="0"/>
          </reference>
          <reference field="14" count="1" selected="0">
            <x v="1"/>
          </reference>
        </references>
      </pivotArea>
    </chartFormat>
    <chartFormat chart="24" format="9">
      <pivotArea type="data" outline="0" fieldPosition="0">
        <references count="2">
          <reference field="4294967294" count="1" selected="0">
            <x v="0"/>
          </reference>
          <reference field="14" count="1" selected="0">
            <x v="2"/>
          </reference>
        </references>
      </pivotArea>
    </chartFormat>
    <chartFormat chart="2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DAE16A-FFCC-41CC-A7F2-85DCDBD0E104}" name="Pivo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ED167A-1337-45DD-B8C5-3E7B16CA1EE9}" name="Pivo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2C30E9-AA01-406A-8087-0A16CBB52A15}" name="Pivo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K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17" format="0" series="1">
      <pivotArea type="data" outline="0" fieldPosition="0">
        <references count="2">
          <reference field="4294967294" count="1" selected="0">
            <x v="0"/>
          </reference>
          <reference field="17" count="1" selected="0">
            <x v="1"/>
          </reference>
        </references>
      </pivotArea>
    </chartFormat>
    <chartFormat chart="17" format="1" series="1">
      <pivotArea type="data" outline="0" fieldPosition="0">
        <references count="2">
          <reference field="4294967294" count="1" selected="0">
            <x v="0"/>
          </reference>
          <reference field="17" count="1" selected="0">
            <x v="2"/>
          </reference>
        </references>
      </pivotArea>
    </chartFormat>
    <chartFormat chart="17" format="2" series="1">
      <pivotArea type="data" outline="0" fieldPosition="0">
        <references count="2">
          <reference field="4294967294" count="1" selected="0">
            <x v="0"/>
          </reference>
          <reference field="17" count="1" selected="0">
            <x v="3"/>
          </reference>
        </references>
      </pivotArea>
    </chartFormat>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2">
          <reference field="4294967294" count="1" selected="0">
            <x v="0"/>
          </reference>
          <reference field="9" count="1" selected="0">
            <x v="1"/>
          </reference>
        </references>
      </pivotArea>
    </chartFormat>
    <chartFormat chart="17" format="5" series="1">
      <pivotArea type="data" outline="0" fieldPosition="0">
        <references count="2">
          <reference field="4294967294" count="1" selected="0">
            <x v="0"/>
          </reference>
          <reference field="9" count="1" selected="0">
            <x v="2"/>
          </reference>
        </references>
      </pivotArea>
    </chartFormat>
    <chartFormat chart="17" format="6" series="1">
      <pivotArea type="data" outline="0" fieldPosition="0">
        <references count="2">
          <reference field="4294967294" count="1" selected="0">
            <x v="0"/>
          </reference>
          <reference field="9" count="1" selected="0">
            <x v="3"/>
          </reference>
        </references>
      </pivotArea>
    </chartFormat>
    <chartFormat chart="17" format="7" series="1">
      <pivotArea type="data" outline="0" fieldPosition="0">
        <references count="2">
          <reference field="4294967294" count="1" selected="0">
            <x v="0"/>
          </reference>
          <reference field="9" count="1" selected="0">
            <x v="4"/>
          </reference>
        </references>
      </pivotArea>
    </chartFormat>
    <chartFormat chart="19" format="13" series="1">
      <pivotArea type="data" outline="0" fieldPosition="0">
        <references count="2">
          <reference field="4294967294" count="1" selected="0">
            <x v="0"/>
          </reference>
          <reference field="9" count="1" selected="0">
            <x v="0"/>
          </reference>
        </references>
      </pivotArea>
    </chartFormat>
    <chartFormat chart="19" format="14" series="1">
      <pivotArea type="data" outline="0" fieldPosition="0">
        <references count="2">
          <reference field="4294967294" count="1" selected="0">
            <x v="0"/>
          </reference>
          <reference field="9" count="1" selected="0">
            <x v="1"/>
          </reference>
        </references>
      </pivotArea>
    </chartFormat>
    <chartFormat chart="19" format="15" series="1">
      <pivotArea type="data" outline="0" fieldPosition="0">
        <references count="2">
          <reference field="4294967294" count="1" selected="0">
            <x v="0"/>
          </reference>
          <reference field="9" count="1" selected="0">
            <x v="2"/>
          </reference>
        </references>
      </pivotArea>
    </chartFormat>
    <chartFormat chart="19" format="16" series="1">
      <pivotArea type="data" outline="0" fieldPosition="0">
        <references count="2">
          <reference field="4294967294" count="1" selected="0">
            <x v="0"/>
          </reference>
          <reference field="9" count="1" selected="0">
            <x v="3"/>
          </reference>
        </references>
      </pivotArea>
    </chartFormat>
    <chartFormat chart="19"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ABF79-775F-4307-BDCE-9A542BCF356F}" name="Pivo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6F70F-E20E-4FF0-98D1-E0C59C495674}" name="Pivo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1"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E342C6-E786-47EE-B3B0-D832D137DD7C}" name="Pivo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1"/>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87BF47C-DF8A-4C3D-8CB7-B8C5CCFDB179}" sourceName="Order Mode">
  <pivotTables>
    <pivotTable tabId="11" name="PivotRating"/>
    <pivotTable tabId="3" name="PivotTrend"/>
    <pivotTable tabId="5" name="PivotTable4"/>
    <pivotTable tabId="6" name="PivotQuantity"/>
    <pivotTable tabId="8" name="PivotGender"/>
    <pivotTable tabId="8" name="PivotProduct"/>
    <pivotTable tabId="10" name="PivotMap"/>
    <pivotTable tabId="3" name="Pivotsummary"/>
    <pivotTable tabId="11" name="PivotDuration"/>
  </pivotTables>
  <data>
    <tabular pivotCacheId="93384255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BE5C8D6-A15B-4809-B85F-0506C1ACE842}" sourceName="Gender Value">
  <pivotTables>
    <pivotTable tabId="11" name="PivotRating"/>
    <pivotTable tabId="3" name="Pivotsummary"/>
    <pivotTable tabId="3" name="PivotTrend"/>
    <pivotTable tabId="5" name="PivotTable4"/>
    <pivotTable tabId="6" name="PivotQuantity"/>
    <pivotTable tabId="8" name="PivotGender"/>
    <pivotTable tabId="8" name="PivotProduct"/>
    <pivotTable tabId="10" name="PivotMap"/>
    <pivotTable tabId="11" name="PivotDuration"/>
  </pivotTables>
  <data>
    <tabular pivotCacheId="93384255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D8EF306-08EE-4292-B99E-62920DEFF024}" cache="Slicer_Order_Mode" caption="Order Mode" rowHeight="247650"/>
  <slicer name="Gender Value" xr10:uid="{F56BD479-4468-45E5-9213-65B506D7B319}"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A778C-82CB-4E90-BC13-AD3CA9D4D07F}" name="orders" displayName="orders" ref="A1:O2401" totalsRowShown="0">
  <tableColumns count="15">
    <tableColumn id="1" xr3:uid="{161CEDE4-9860-4BDE-8594-18F08EAE60FB}" name="TX ID"/>
    <tableColumn id="2" xr3:uid="{669EB95C-C27E-4F2B-8948-408BA380CAAB}" name="Product"/>
    <tableColumn id="3" xr3:uid="{439E997B-9F1C-431F-823E-6DCFED72ABD8}" name="Quantity"/>
    <tableColumn id="4" xr3:uid="{0C356CB8-32D1-4B2B-97EE-CA7FD2EA35F1}" name="Unit Price"/>
    <tableColumn id="5" xr3:uid="{78596977-E1FC-4395-BE01-292D5D4E8307}" name="Amount"/>
    <tableColumn id="6" xr3:uid="{B1186B48-F2D4-4864-9411-811A4FD78685}" name="Order Date" dataDxfId="4"/>
    <tableColumn id="7" xr3:uid="{F5C00966-2285-4A9C-B1DF-9EA3A475163A}" name="Ship Date" dataDxfId="3"/>
    <tableColumn id="8" xr3:uid="{F5C88E62-F55E-4679-939F-EFF2D51357F8}" name="Customer Gender"/>
    <tableColumn id="9" xr3:uid="{89B7FF2C-6FF0-4347-BCF0-BE2FE9835F6F}" name="Order Mode"/>
    <tableColumn id="10" xr3:uid="{E5ECAF5E-921F-4F9B-9DB5-1C521D00EB21}" name="Rating C"/>
    <tableColumn id="15" xr3:uid="{945978FD-97A9-4151-8A46-4DB56CE76D93}" name="State"/>
    <tableColumn id="14" xr3:uid="{C28EE208-32B5-43D9-8922-6E827872FB6E}" name="County"/>
    <tableColumn id="11" xr3:uid="{23A1C8C3-A2D8-4DD5-A425-D0B6670736A6}" name="Days to Deliver" dataDxfId="2">
      <calculatedColumnFormula>orders[[#This Row],[Ship Date]]-orders[[#This Row],[Order Date]]</calculatedColumnFormula>
    </tableColumn>
    <tableColumn id="12" xr3:uid="{7C7333BA-84EA-4E05-A54C-98B03DB0D3E4}" name="Weeknum" dataDxfId="1">
      <calculatedColumnFormula>WEEKNUM(orders[[#This Row],[Order Date]])</calculatedColumnFormula>
    </tableColumn>
    <tableColumn id="13" xr3:uid="{41EC20BC-1F32-4C72-BA57-6EE5CDAC1A7A}"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24C0-B8C8-45E2-BF39-4D1BD0B0F2CB}">
  <dimension ref="A1"/>
  <sheetViews>
    <sheetView tabSelected="1" zoomScale="70" zoomScaleNormal="70" workbookViewId="0">
      <selection activeCell="AC21" sqref="AC21"/>
    </sheetView>
  </sheetViews>
  <sheetFormatPr defaultRowHeight="14.4" x14ac:dyDescent="0.3"/>
  <cols>
    <col min="1" max="1" width="4.44140625" customWidth="1"/>
    <col min="2" max="2" width="14.109375" customWidth="1"/>
    <col min="3" max="3" width="4.44140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E390-CBED-4CAF-B6F6-C91B0B4E87B7}">
  <dimension ref="A2:L10"/>
  <sheetViews>
    <sheetView showGridLines="0" workbookViewId="0">
      <selection activeCell="D7" sqref="D7"/>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s>
  <sheetData>
    <row r="2" spans="1:12" x14ac:dyDescent="0.3">
      <c r="H2" t="s">
        <v>2520</v>
      </c>
    </row>
    <row r="3" spans="1:12" x14ac:dyDescent="0.3">
      <c r="A3" s="3" t="s">
        <v>2505</v>
      </c>
      <c r="B3" s="3" t="s">
        <v>2515</v>
      </c>
    </row>
    <row r="4" spans="1:12" ht="15" thickBot="1" x14ac:dyDescent="0.35">
      <c r="A4" s="3" t="s">
        <v>2513</v>
      </c>
      <c r="B4" t="s">
        <v>2516</v>
      </c>
      <c r="C4" t="s">
        <v>2517</v>
      </c>
      <c r="D4" t="s">
        <v>2518</v>
      </c>
      <c r="E4" t="s">
        <v>2519</v>
      </c>
      <c r="F4" t="s">
        <v>2514</v>
      </c>
      <c r="H4" s="7"/>
      <c r="I4" s="8" t="str">
        <f>B4</f>
        <v>Female</v>
      </c>
      <c r="J4" s="8" t="str">
        <f t="shared" ref="J4:L4" si="0">C4</f>
        <v>Male</v>
      </c>
      <c r="K4" s="8" t="str">
        <f t="shared" si="0"/>
        <v>Other</v>
      </c>
      <c r="L4" s="9" t="str">
        <f t="shared" si="0"/>
        <v>Unknown</v>
      </c>
    </row>
    <row r="5" spans="1:12" ht="16.95" customHeight="1" thickTop="1" thickBot="1" x14ac:dyDescent="0.35">
      <c r="A5" s="4" t="s">
        <v>18</v>
      </c>
      <c r="B5" s="6">
        <v>0.18961825201634841</v>
      </c>
      <c r="C5" s="6">
        <v>0.12262322351336576</v>
      </c>
      <c r="D5" s="6">
        <v>1.060537752469185E-2</v>
      </c>
      <c r="E5" s="6">
        <v>3.0599220547662797E-2</v>
      </c>
      <c r="F5" s="6">
        <v>0.35344607360206881</v>
      </c>
      <c r="H5" s="10" t="str">
        <f>A5</f>
        <v>App</v>
      </c>
      <c r="I5" s="11">
        <f>B5</f>
        <v>0.18961825201634841</v>
      </c>
      <c r="J5" s="11">
        <f t="shared" ref="I5:L9" si="1">C5</f>
        <v>0.12262322351336576</v>
      </c>
      <c r="K5" s="11">
        <f t="shared" si="1"/>
        <v>1.060537752469185E-2</v>
      </c>
      <c r="L5" s="12">
        <f t="shared" si="1"/>
        <v>3.0599220547662797E-2</v>
      </c>
    </row>
    <row r="6" spans="1:12" ht="16.95" customHeight="1" thickTop="1" thickBot="1" x14ac:dyDescent="0.35">
      <c r="A6" s="4" t="s">
        <v>51</v>
      </c>
      <c r="B6" s="6">
        <v>5.0283982091147303E-2</v>
      </c>
      <c r="C6" s="6">
        <v>4.3060781812819873E-2</v>
      </c>
      <c r="D6" s="6">
        <v>1.5320025675641944E-3</v>
      </c>
      <c r="E6" s="6">
        <v>1.7794988689097006E-2</v>
      </c>
      <c r="F6" s="6">
        <v>0.11267175516062837</v>
      </c>
      <c r="H6" s="10" t="str">
        <f t="shared" ref="H6:H9" si="2">A6</f>
        <v>Instagram</v>
      </c>
      <c r="I6" s="11">
        <f t="shared" si="1"/>
        <v>5.0283982091147303E-2</v>
      </c>
      <c r="J6" s="11">
        <f t="shared" si="1"/>
        <v>4.3060781812819873E-2</v>
      </c>
      <c r="K6" s="11">
        <f t="shared" si="1"/>
        <v>1.5320025675641944E-3</v>
      </c>
      <c r="L6" s="12">
        <f t="shared" si="1"/>
        <v>1.7794988689097006E-2</v>
      </c>
    </row>
    <row r="7" spans="1:12" ht="16.95" customHeight="1" thickTop="1" thickBot="1" x14ac:dyDescent="0.35">
      <c r="A7" s="4" t="s">
        <v>70</v>
      </c>
      <c r="B7" s="6">
        <v>6.3496059750411282E-2</v>
      </c>
      <c r="C7" s="6">
        <v>4.6071629863988765E-2</v>
      </c>
      <c r="D7" s="6">
        <v>2.306247051322625E-3</v>
      </c>
      <c r="E7" s="6">
        <v>3.8927934093844286E-3</v>
      </c>
      <c r="F7" s="6">
        <v>0.11576673007510711</v>
      </c>
      <c r="H7" s="10" t="str">
        <f t="shared" si="2"/>
        <v>Partner App</v>
      </c>
      <c r="I7" s="11">
        <f t="shared" si="1"/>
        <v>6.3496059750411282E-2</v>
      </c>
      <c r="J7" s="11">
        <f t="shared" si="1"/>
        <v>4.6071629863988765E-2</v>
      </c>
      <c r="K7" s="11">
        <f t="shared" si="1"/>
        <v>2.306247051322625E-3</v>
      </c>
      <c r="L7" s="12">
        <f t="shared" si="1"/>
        <v>3.8927934093844286E-3</v>
      </c>
    </row>
    <row r="8" spans="1:12" ht="16.95" customHeight="1" thickTop="1" thickBot="1" x14ac:dyDescent="0.35">
      <c r="A8" s="4" t="s">
        <v>40</v>
      </c>
      <c r="B8" s="6">
        <v>9.6337892927149532E-2</v>
      </c>
      <c r="C8" s="6">
        <v>6.7920115842382611E-2</v>
      </c>
      <c r="D8" s="6">
        <v>5.4979832664581261E-3</v>
      </c>
      <c r="E8" s="6">
        <v>1.2933041488102518E-2</v>
      </c>
      <c r="F8" s="6">
        <v>0.1826890335240928</v>
      </c>
      <c r="H8" s="10" t="str">
        <f t="shared" si="2"/>
        <v>Target.com</v>
      </c>
      <c r="I8" s="11">
        <f t="shared" si="1"/>
        <v>9.6337892927149532E-2</v>
      </c>
      <c r="J8" s="11">
        <f t="shared" si="1"/>
        <v>6.7920115842382611E-2</v>
      </c>
      <c r="K8" s="11">
        <f t="shared" si="1"/>
        <v>5.4979832664581261E-3</v>
      </c>
      <c r="L8" s="12">
        <f t="shared" si="1"/>
        <v>1.2933041488102518E-2</v>
      </c>
    </row>
    <row r="9" spans="1:12" ht="16.95" customHeight="1" thickTop="1" x14ac:dyDescent="0.3">
      <c r="A9" s="4" t="s">
        <v>35</v>
      </c>
      <c r="B9" s="6">
        <v>0.12522098709469262</v>
      </c>
      <c r="C9" s="6">
        <v>9.1492740283116228E-2</v>
      </c>
      <c r="D9" s="6">
        <v>6.3042760790965081E-3</v>
      </c>
      <c r="E9" s="6">
        <v>1.2408404181197551E-2</v>
      </c>
      <c r="F9" s="6">
        <v>0.23542640763810288</v>
      </c>
      <c r="H9" s="13" t="str">
        <f t="shared" si="2"/>
        <v>Website</v>
      </c>
      <c r="I9" s="14">
        <f t="shared" si="1"/>
        <v>0.12522098709469262</v>
      </c>
      <c r="J9" s="14">
        <f t="shared" si="1"/>
        <v>9.1492740283116228E-2</v>
      </c>
      <c r="K9" s="14">
        <f t="shared" si="1"/>
        <v>6.3042760790965081E-3</v>
      </c>
      <c r="L9" s="15">
        <f t="shared" si="1"/>
        <v>1.2408404181197551E-2</v>
      </c>
    </row>
    <row r="10" spans="1:12" x14ac:dyDescent="0.3">
      <c r="A10" s="4" t="s">
        <v>2514</v>
      </c>
      <c r="B10" s="6">
        <v>0.52495717387974916</v>
      </c>
      <c r="C10" s="6">
        <v>0.3711684913156732</v>
      </c>
      <c r="D10" s="6">
        <v>2.6245886489133303E-2</v>
      </c>
      <c r="E10" s="6">
        <v>7.7628448315444312E-2</v>
      </c>
      <c r="F10" s="6">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FF76-31E1-4E35-8DBB-116986078099}">
  <dimension ref="A3:B11"/>
  <sheetViews>
    <sheetView workbookViewId="0">
      <selection activeCell="A9" sqref="A9"/>
    </sheetView>
  </sheetViews>
  <sheetFormatPr defaultRowHeight="14.4" x14ac:dyDescent="0.3"/>
  <cols>
    <col min="1" max="1" width="12.44140625" bestFit="1" customWidth="1"/>
    <col min="2" max="2" width="12.21875" bestFit="1" customWidth="1"/>
  </cols>
  <sheetData>
    <row r="3" spans="1:2" x14ac:dyDescent="0.3">
      <c r="A3" s="3" t="s">
        <v>2513</v>
      </c>
      <c r="B3" t="s">
        <v>2503</v>
      </c>
    </row>
    <row r="4" spans="1:2" x14ac:dyDescent="0.3">
      <c r="A4" s="4">
        <v>1</v>
      </c>
      <c r="B4">
        <v>397</v>
      </c>
    </row>
    <row r="5" spans="1:2" x14ac:dyDescent="0.3">
      <c r="A5" s="4">
        <v>2</v>
      </c>
      <c r="B5">
        <v>540</v>
      </c>
    </row>
    <row r="6" spans="1:2" x14ac:dyDescent="0.3">
      <c r="A6" s="4">
        <v>3</v>
      </c>
      <c r="B6">
        <v>375</v>
      </c>
    </row>
    <row r="7" spans="1:2" x14ac:dyDescent="0.3">
      <c r="A7" s="4">
        <v>4</v>
      </c>
      <c r="B7">
        <v>246</v>
      </c>
    </row>
    <row r="8" spans="1:2" x14ac:dyDescent="0.3">
      <c r="A8" s="4">
        <v>5</v>
      </c>
      <c r="B8">
        <v>195</v>
      </c>
    </row>
    <row r="9" spans="1:2" x14ac:dyDescent="0.3">
      <c r="A9" s="4" t="s">
        <v>2521</v>
      </c>
      <c r="B9">
        <v>414</v>
      </c>
    </row>
    <row r="10" spans="1:2" x14ac:dyDescent="0.3">
      <c r="A10" s="4" t="s">
        <v>2522</v>
      </c>
      <c r="B10">
        <v>233</v>
      </c>
    </row>
    <row r="11" spans="1:2" x14ac:dyDescent="0.3">
      <c r="A11" s="4" t="s">
        <v>2514</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6882-EA9C-4EE6-B4C7-5712DA1482AC}">
  <dimension ref="A3:J25"/>
  <sheetViews>
    <sheetView workbookViewId="0">
      <selection activeCell="A6" sqref="A5:A24"/>
      <pivotSelection pane="bottomRight" showHeader="1" axis="axisRow" activeRow="5" previousRow="5" click="1" r:id="rId2">
        <pivotArea dataOnly="0" labelOnly="1" fieldPosition="0">
          <references count="1">
            <reference field="1" count="0"/>
          </references>
        </pivotArea>
      </pivotSelection>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9" max="9" width="12.44140625" bestFit="1" customWidth="1"/>
    <col min="10" max="10" width="14.21875" bestFit="1" customWidth="1"/>
    <col min="11" max="11" width="5" bestFit="1" customWidth="1"/>
    <col min="12" max="12" width="5.6640625" bestFit="1" customWidth="1"/>
    <col min="13" max="13" width="8.5546875" bestFit="1" customWidth="1"/>
    <col min="14" max="14" width="10.5546875" bestFit="1" customWidth="1"/>
  </cols>
  <sheetData>
    <row r="3" spans="1:10" x14ac:dyDescent="0.3">
      <c r="A3" s="3" t="s">
        <v>2504</v>
      </c>
      <c r="B3" s="3" t="s">
        <v>2515</v>
      </c>
      <c r="I3" s="3" t="s">
        <v>2513</v>
      </c>
      <c r="J3" t="s">
        <v>2504</v>
      </c>
    </row>
    <row r="4" spans="1:10" x14ac:dyDescent="0.3">
      <c r="A4" s="3" t="s">
        <v>2513</v>
      </c>
      <c r="B4" t="s">
        <v>2516</v>
      </c>
      <c r="C4" t="s">
        <v>2517</v>
      </c>
      <c r="D4" t="s">
        <v>2518</v>
      </c>
      <c r="E4" t="s">
        <v>2519</v>
      </c>
      <c r="F4" t="s">
        <v>2514</v>
      </c>
      <c r="I4" s="4" t="s">
        <v>2516</v>
      </c>
      <c r="J4">
        <v>6272</v>
      </c>
    </row>
    <row r="5" spans="1:10" x14ac:dyDescent="0.3">
      <c r="A5" s="4" t="s">
        <v>44</v>
      </c>
      <c r="B5">
        <v>744</v>
      </c>
      <c r="C5">
        <v>713</v>
      </c>
      <c r="D5">
        <v>90</v>
      </c>
      <c r="E5">
        <v>98</v>
      </c>
      <c r="F5">
        <v>1645</v>
      </c>
      <c r="I5" s="4" t="s">
        <v>2517</v>
      </c>
      <c r="J5">
        <v>4672</v>
      </c>
    </row>
    <row r="6" spans="1:10" x14ac:dyDescent="0.3">
      <c r="A6" s="4" t="s">
        <v>39</v>
      </c>
      <c r="B6">
        <v>716</v>
      </c>
      <c r="C6">
        <v>598</v>
      </c>
      <c r="D6">
        <v>18</v>
      </c>
      <c r="E6">
        <v>214</v>
      </c>
      <c r="F6">
        <v>1546</v>
      </c>
      <c r="I6" s="4" t="s">
        <v>2518</v>
      </c>
      <c r="J6">
        <v>317</v>
      </c>
    </row>
    <row r="7" spans="1:10" x14ac:dyDescent="0.3">
      <c r="A7" s="4" t="s">
        <v>26</v>
      </c>
      <c r="B7">
        <v>627</v>
      </c>
      <c r="C7">
        <v>393</v>
      </c>
      <c r="D7">
        <v>29</v>
      </c>
      <c r="E7">
        <v>137</v>
      </c>
      <c r="F7">
        <v>1186</v>
      </c>
      <c r="I7" s="4" t="s">
        <v>2519</v>
      </c>
      <c r="J7">
        <v>736</v>
      </c>
    </row>
    <row r="8" spans="1:10" x14ac:dyDescent="0.3">
      <c r="A8" s="4" t="s">
        <v>22</v>
      </c>
      <c r="B8">
        <v>568</v>
      </c>
      <c r="C8">
        <v>306</v>
      </c>
      <c r="D8">
        <v>22</v>
      </c>
      <c r="E8">
        <v>16</v>
      </c>
      <c r="F8">
        <v>912</v>
      </c>
      <c r="I8" s="4" t="s">
        <v>2514</v>
      </c>
      <c r="J8">
        <v>11997</v>
      </c>
    </row>
    <row r="9" spans="1:10" x14ac:dyDescent="0.3">
      <c r="A9" s="4" t="s">
        <v>54</v>
      </c>
      <c r="B9">
        <v>482</v>
      </c>
      <c r="C9">
        <v>295</v>
      </c>
      <c r="D9">
        <v>8</v>
      </c>
      <c r="E9">
        <v>22</v>
      </c>
      <c r="F9">
        <v>807</v>
      </c>
    </row>
    <row r="10" spans="1:10" x14ac:dyDescent="0.3">
      <c r="A10" s="4" t="s">
        <v>16</v>
      </c>
      <c r="B10">
        <v>428</v>
      </c>
      <c r="C10">
        <v>293</v>
      </c>
      <c r="E10">
        <v>24</v>
      </c>
      <c r="F10">
        <v>745</v>
      </c>
    </row>
    <row r="11" spans="1:10" x14ac:dyDescent="0.3">
      <c r="A11" s="4" t="s">
        <v>46</v>
      </c>
      <c r="B11">
        <v>445</v>
      </c>
      <c r="C11">
        <v>202</v>
      </c>
      <c r="D11">
        <v>14</v>
      </c>
      <c r="E11">
        <v>39</v>
      </c>
      <c r="F11">
        <v>700</v>
      </c>
    </row>
    <row r="12" spans="1:10" x14ac:dyDescent="0.3">
      <c r="A12" s="4" t="s">
        <v>32</v>
      </c>
      <c r="B12">
        <v>431</v>
      </c>
      <c r="C12">
        <v>187</v>
      </c>
      <c r="D12">
        <v>14</v>
      </c>
      <c r="E12">
        <v>15</v>
      </c>
      <c r="F12">
        <v>647</v>
      </c>
    </row>
    <row r="13" spans="1:10" x14ac:dyDescent="0.3">
      <c r="A13" s="4" t="s">
        <v>42</v>
      </c>
      <c r="B13">
        <v>264</v>
      </c>
      <c r="C13">
        <v>318</v>
      </c>
      <c r="D13">
        <v>15</v>
      </c>
      <c r="E13">
        <v>9</v>
      </c>
      <c r="F13">
        <v>606</v>
      </c>
    </row>
    <row r="14" spans="1:10" x14ac:dyDescent="0.3">
      <c r="A14" s="4" t="s">
        <v>37</v>
      </c>
      <c r="B14">
        <v>296</v>
      </c>
      <c r="C14">
        <v>275</v>
      </c>
      <c r="D14">
        <v>9</v>
      </c>
      <c r="E14">
        <v>23</v>
      </c>
      <c r="F14">
        <v>603</v>
      </c>
    </row>
    <row r="15" spans="1:10" x14ac:dyDescent="0.3">
      <c r="A15" s="4" t="s">
        <v>123</v>
      </c>
      <c r="B15">
        <v>153</v>
      </c>
      <c r="C15">
        <v>246</v>
      </c>
      <c r="D15">
        <v>30</v>
      </c>
      <c r="E15">
        <v>8</v>
      </c>
      <c r="F15">
        <v>437</v>
      </c>
    </row>
    <row r="16" spans="1:10" x14ac:dyDescent="0.3">
      <c r="A16" s="4" t="s">
        <v>146</v>
      </c>
      <c r="B16">
        <v>189</v>
      </c>
      <c r="C16">
        <v>168</v>
      </c>
      <c r="D16">
        <v>10</v>
      </c>
      <c r="E16">
        <v>31</v>
      </c>
      <c r="F16">
        <v>398</v>
      </c>
    </row>
    <row r="17" spans="1:6" x14ac:dyDescent="0.3">
      <c r="A17" s="4" t="s">
        <v>69</v>
      </c>
      <c r="B17">
        <v>234</v>
      </c>
      <c r="C17">
        <v>93</v>
      </c>
      <c r="D17">
        <v>19</v>
      </c>
      <c r="E17">
        <v>24</v>
      </c>
      <c r="F17">
        <v>370</v>
      </c>
    </row>
    <row r="18" spans="1:6" x14ac:dyDescent="0.3">
      <c r="A18" s="4" t="s">
        <v>30</v>
      </c>
      <c r="B18">
        <v>146</v>
      </c>
      <c r="C18">
        <v>94</v>
      </c>
      <c r="D18">
        <v>4</v>
      </c>
      <c r="E18">
        <v>28</v>
      </c>
      <c r="F18">
        <v>272</v>
      </c>
    </row>
    <row r="19" spans="1:6" x14ac:dyDescent="0.3">
      <c r="A19" s="4" t="s">
        <v>135</v>
      </c>
      <c r="B19">
        <v>127</v>
      </c>
      <c r="C19">
        <v>118</v>
      </c>
      <c r="D19">
        <v>13</v>
      </c>
      <c r="E19">
        <v>12</v>
      </c>
      <c r="F19">
        <v>270</v>
      </c>
    </row>
    <row r="20" spans="1:6" x14ac:dyDescent="0.3">
      <c r="A20" s="4" t="s">
        <v>67</v>
      </c>
      <c r="B20">
        <v>179</v>
      </c>
      <c r="C20">
        <v>76</v>
      </c>
      <c r="D20">
        <v>3</v>
      </c>
      <c r="F20">
        <v>258</v>
      </c>
    </row>
    <row r="21" spans="1:6" x14ac:dyDescent="0.3">
      <c r="A21" s="4" t="s">
        <v>128</v>
      </c>
      <c r="B21">
        <v>99</v>
      </c>
      <c r="C21">
        <v>69</v>
      </c>
      <c r="D21">
        <v>3</v>
      </c>
      <c r="E21">
        <v>24</v>
      </c>
      <c r="F21">
        <v>195</v>
      </c>
    </row>
    <row r="22" spans="1:6" x14ac:dyDescent="0.3">
      <c r="A22" s="4" t="s">
        <v>76</v>
      </c>
      <c r="B22">
        <v>75</v>
      </c>
      <c r="C22">
        <v>103</v>
      </c>
      <c r="D22">
        <v>4</v>
      </c>
      <c r="E22">
        <v>6</v>
      </c>
      <c r="F22">
        <v>188</v>
      </c>
    </row>
    <row r="23" spans="1:6" x14ac:dyDescent="0.3">
      <c r="A23" s="4" t="s">
        <v>81</v>
      </c>
      <c r="B23">
        <v>43</v>
      </c>
      <c r="C23">
        <v>90</v>
      </c>
      <c r="D23">
        <v>8</v>
      </c>
      <c r="E23">
        <v>6</v>
      </c>
      <c r="F23">
        <v>147</v>
      </c>
    </row>
    <row r="24" spans="1:6" x14ac:dyDescent="0.3">
      <c r="A24" s="4" t="s">
        <v>171</v>
      </c>
      <c r="B24">
        <v>26</v>
      </c>
      <c r="C24">
        <v>35</v>
      </c>
      <c r="D24">
        <v>4</v>
      </c>
      <c r="F24">
        <v>65</v>
      </c>
    </row>
    <row r="25" spans="1:6" x14ac:dyDescent="0.3">
      <c r="A25" s="4" t="s">
        <v>2514</v>
      </c>
      <c r="B25">
        <v>6272</v>
      </c>
      <c r="C25">
        <v>4672</v>
      </c>
      <c r="D25">
        <v>317</v>
      </c>
      <c r="E25">
        <v>736</v>
      </c>
      <c r="F2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E581-5546-452E-8F37-2256840B78F3}">
  <dimension ref="A2:L61"/>
  <sheetViews>
    <sheetView workbookViewId="0">
      <selection activeCell="C11" sqref="C11"/>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6" max="6" width="9.109375" bestFit="1" customWidth="1"/>
    <col min="7" max="7" width="19.6640625" bestFit="1" customWidth="1"/>
    <col min="8" max="8" width="14.21875" bestFit="1" customWidth="1"/>
    <col min="10" max="10" width="9.109375" bestFit="1" customWidth="1"/>
    <col min="11" max="11" width="19.6640625" bestFit="1" customWidth="1"/>
    <col min="12" max="12" width="13.5546875" bestFit="1" customWidth="1"/>
  </cols>
  <sheetData>
    <row r="2" spans="1:12" x14ac:dyDescent="0.3">
      <c r="F2" t="s">
        <v>2523</v>
      </c>
      <c r="J2" t="s">
        <v>2524</v>
      </c>
    </row>
    <row r="3" spans="1:12" x14ac:dyDescent="0.3">
      <c r="A3" s="3" t="s">
        <v>10</v>
      </c>
      <c r="B3" s="3" t="s">
        <v>11</v>
      </c>
      <c r="C3" t="s">
        <v>2504</v>
      </c>
      <c r="D3" t="s">
        <v>2505</v>
      </c>
      <c r="F3" s="16" t="s">
        <v>10</v>
      </c>
      <c r="G3" s="16" t="s">
        <v>11</v>
      </c>
      <c r="H3" s="16" t="s">
        <v>2504</v>
      </c>
      <c r="J3" s="16" t="s">
        <v>10</v>
      </c>
      <c r="K3" s="16" t="s">
        <v>11</v>
      </c>
      <c r="L3" s="16" t="s">
        <v>2505</v>
      </c>
    </row>
    <row r="4" spans="1:12" x14ac:dyDescent="0.3">
      <c r="A4" t="s">
        <v>19</v>
      </c>
      <c r="B4" t="s">
        <v>115</v>
      </c>
      <c r="C4">
        <v>579</v>
      </c>
      <c r="D4">
        <v>31884.999999999996</v>
      </c>
      <c r="F4" s="17" t="s">
        <v>19</v>
      </c>
      <c r="G4" t="s">
        <v>115</v>
      </c>
      <c r="H4">
        <v>579</v>
      </c>
      <c r="J4" s="17" t="s">
        <v>19</v>
      </c>
      <c r="K4" t="s">
        <v>115</v>
      </c>
      <c r="L4">
        <v>31884.999999999996</v>
      </c>
    </row>
    <row r="5" spans="1:12" x14ac:dyDescent="0.3">
      <c r="A5" t="s">
        <v>19</v>
      </c>
      <c r="B5" t="s">
        <v>20</v>
      </c>
      <c r="C5">
        <v>1</v>
      </c>
      <c r="D5">
        <v>10.9</v>
      </c>
      <c r="F5" s="17" t="s">
        <v>19</v>
      </c>
      <c r="G5" t="s">
        <v>20</v>
      </c>
      <c r="H5">
        <v>1</v>
      </c>
      <c r="J5" s="17" t="s">
        <v>19</v>
      </c>
      <c r="K5" t="s">
        <v>20</v>
      </c>
      <c r="L5">
        <v>10.9</v>
      </c>
    </row>
    <row r="6" spans="1:12" x14ac:dyDescent="0.3">
      <c r="A6" t="s">
        <v>19</v>
      </c>
      <c r="B6" t="s">
        <v>641</v>
      </c>
      <c r="C6">
        <v>9</v>
      </c>
      <c r="D6">
        <v>800.3</v>
      </c>
      <c r="F6" s="17" t="s">
        <v>19</v>
      </c>
      <c r="G6" t="s">
        <v>641</v>
      </c>
      <c r="H6">
        <v>9</v>
      </c>
      <c r="J6" s="17" t="s">
        <v>19</v>
      </c>
      <c r="K6" t="s">
        <v>641</v>
      </c>
      <c r="L6">
        <v>800.3</v>
      </c>
    </row>
    <row r="7" spans="1:12" x14ac:dyDescent="0.3">
      <c r="A7" t="s">
        <v>19</v>
      </c>
      <c r="B7" t="s">
        <v>967</v>
      </c>
      <c r="C7">
        <v>35</v>
      </c>
      <c r="D7">
        <v>1062.5999999999999</v>
      </c>
      <c r="F7" s="17" t="s">
        <v>19</v>
      </c>
      <c r="G7" t="s">
        <v>967</v>
      </c>
      <c r="H7">
        <v>35</v>
      </c>
      <c r="J7" s="17" t="s">
        <v>19</v>
      </c>
      <c r="K7" t="s">
        <v>967</v>
      </c>
      <c r="L7">
        <v>1062.5999999999999</v>
      </c>
    </row>
    <row r="8" spans="1:12" x14ac:dyDescent="0.3">
      <c r="A8" t="s">
        <v>19</v>
      </c>
      <c r="B8" t="s">
        <v>84</v>
      </c>
      <c r="C8">
        <v>12</v>
      </c>
      <c r="D8">
        <v>326.20000000000005</v>
      </c>
      <c r="F8" s="17" t="s">
        <v>19</v>
      </c>
      <c r="G8" t="s">
        <v>84</v>
      </c>
      <c r="H8">
        <v>12</v>
      </c>
      <c r="J8" s="17" t="s">
        <v>19</v>
      </c>
      <c r="K8" t="s">
        <v>84</v>
      </c>
      <c r="L8">
        <v>326.20000000000005</v>
      </c>
    </row>
    <row r="9" spans="1:12" x14ac:dyDescent="0.3">
      <c r="A9" t="s">
        <v>19</v>
      </c>
      <c r="B9" t="s">
        <v>1383</v>
      </c>
      <c r="C9">
        <v>4</v>
      </c>
      <c r="D9">
        <v>167.5</v>
      </c>
      <c r="F9" s="17" t="s">
        <v>19</v>
      </c>
      <c r="G9" t="s">
        <v>1383</v>
      </c>
      <c r="H9">
        <v>4</v>
      </c>
      <c r="J9" s="17" t="s">
        <v>19</v>
      </c>
      <c r="K9" t="s">
        <v>1383</v>
      </c>
      <c r="L9">
        <v>167.5</v>
      </c>
    </row>
    <row r="10" spans="1:12" x14ac:dyDescent="0.3">
      <c r="A10" t="s">
        <v>19</v>
      </c>
      <c r="B10" t="s">
        <v>24</v>
      </c>
      <c r="C10">
        <v>341</v>
      </c>
      <c r="D10">
        <v>16168.7</v>
      </c>
      <c r="F10" s="17" t="s">
        <v>19</v>
      </c>
      <c r="G10" t="s">
        <v>24</v>
      </c>
      <c r="H10">
        <v>341</v>
      </c>
      <c r="J10" s="17" t="s">
        <v>19</v>
      </c>
      <c r="K10" t="s">
        <v>24</v>
      </c>
      <c r="L10">
        <v>16168.7</v>
      </c>
    </row>
    <row r="11" spans="1:12" x14ac:dyDescent="0.3">
      <c r="A11" t="s">
        <v>19</v>
      </c>
      <c r="B11" t="s">
        <v>2204</v>
      </c>
      <c r="C11">
        <v>13</v>
      </c>
      <c r="D11">
        <v>322.40000000000003</v>
      </c>
      <c r="F11" s="17" t="s">
        <v>19</v>
      </c>
      <c r="G11" t="s">
        <v>2204</v>
      </c>
      <c r="H11">
        <v>13</v>
      </c>
      <c r="J11" s="17" t="s">
        <v>19</v>
      </c>
      <c r="K11" t="s">
        <v>2204</v>
      </c>
      <c r="L11">
        <v>322.40000000000003</v>
      </c>
    </row>
    <row r="12" spans="1:12" x14ac:dyDescent="0.3">
      <c r="A12" t="s">
        <v>19</v>
      </c>
      <c r="B12" t="s">
        <v>437</v>
      </c>
      <c r="C12">
        <v>31</v>
      </c>
      <c r="D12">
        <v>2092.8000000000002</v>
      </c>
      <c r="F12" s="17" t="s">
        <v>19</v>
      </c>
      <c r="G12" t="s">
        <v>437</v>
      </c>
      <c r="H12">
        <v>31</v>
      </c>
      <c r="J12" s="17" t="s">
        <v>19</v>
      </c>
      <c r="K12" t="s">
        <v>437</v>
      </c>
      <c r="L12">
        <v>2092.8000000000002</v>
      </c>
    </row>
    <row r="13" spans="1:12" x14ac:dyDescent="0.3">
      <c r="A13" t="s">
        <v>19</v>
      </c>
      <c r="B13" t="s">
        <v>28</v>
      </c>
      <c r="C13">
        <v>279</v>
      </c>
      <c r="D13">
        <v>12662.500000000002</v>
      </c>
      <c r="F13" s="17" t="s">
        <v>19</v>
      </c>
      <c r="G13" t="s">
        <v>28</v>
      </c>
      <c r="H13">
        <v>279</v>
      </c>
      <c r="J13" s="17" t="s">
        <v>19</v>
      </c>
      <c r="K13" t="s">
        <v>28</v>
      </c>
      <c r="L13">
        <v>12662.500000000002</v>
      </c>
    </row>
    <row r="14" spans="1:12" x14ac:dyDescent="0.3">
      <c r="A14" t="s">
        <v>19</v>
      </c>
      <c r="B14" t="s">
        <v>208</v>
      </c>
      <c r="C14">
        <v>9</v>
      </c>
      <c r="D14">
        <v>343.2</v>
      </c>
      <c r="F14" s="17" t="s">
        <v>19</v>
      </c>
      <c r="G14" t="s">
        <v>208</v>
      </c>
      <c r="H14">
        <v>9</v>
      </c>
      <c r="J14" s="17" t="s">
        <v>19</v>
      </c>
      <c r="K14" t="s">
        <v>208</v>
      </c>
      <c r="L14">
        <v>343.2</v>
      </c>
    </row>
    <row r="15" spans="1:12" x14ac:dyDescent="0.3">
      <c r="A15" t="s">
        <v>19</v>
      </c>
      <c r="B15" t="s">
        <v>587</v>
      </c>
      <c r="C15">
        <v>49</v>
      </c>
      <c r="D15">
        <v>2188.2999999999997</v>
      </c>
      <c r="F15" s="17" t="s">
        <v>19</v>
      </c>
      <c r="G15" t="s">
        <v>587</v>
      </c>
      <c r="H15">
        <v>49</v>
      </c>
      <c r="J15" s="17" t="s">
        <v>19</v>
      </c>
      <c r="K15" t="s">
        <v>587</v>
      </c>
      <c r="L15">
        <v>2188.2999999999997</v>
      </c>
    </row>
    <row r="16" spans="1:12" x14ac:dyDescent="0.3">
      <c r="A16" t="s">
        <v>19</v>
      </c>
      <c r="B16" t="s">
        <v>331</v>
      </c>
      <c r="C16">
        <v>59</v>
      </c>
      <c r="D16">
        <v>2661.5999999999995</v>
      </c>
      <c r="F16" s="17" t="s">
        <v>19</v>
      </c>
      <c r="G16" t="s">
        <v>331</v>
      </c>
      <c r="H16">
        <v>59</v>
      </c>
      <c r="J16" s="17" t="s">
        <v>19</v>
      </c>
      <c r="K16" t="s">
        <v>331</v>
      </c>
      <c r="L16">
        <v>2661.5999999999995</v>
      </c>
    </row>
    <row r="17" spans="1:12" x14ac:dyDescent="0.3">
      <c r="A17" t="s">
        <v>19</v>
      </c>
      <c r="B17" t="s">
        <v>86</v>
      </c>
      <c r="C17">
        <v>8</v>
      </c>
      <c r="D17">
        <v>887.5</v>
      </c>
      <c r="F17" s="17" t="s">
        <v>19</v>
      </c>
      <c r="G17" t="s">
        <v>86</v>
      </c>
      <c r="H17">
        <v>8</v>
      </c>
      <c r="J17" s="17" t="s">
        <v>19</v>
      </c>
      <c r="K17" t="s">
        <v>86</v>
      </c>
      <c r="L17">
        <v>887.5</v>
      </c>
    </row>
    <row r="18" spans="1:12" x14ac:dyDescent="0.3">
      <c r="A18" t="s">
        <v>19</v>
      </c>
      <c r="B18" t="s">
        <v>147</v>
      </c>
      <c r="C18">
        <v>222</v>
      </c>
      <c r="D18">
        <v>11354.199999999993</v>
      </c>
      <c r="F18" s="17" t="s">
        <v>19</v>
      </c>
      <c r="G18" t="s">
        <v>147</v>
      </c>
      <c r="H18">
        <v>222</v>
      </c>
      <c r="J18" s="17" t="s">
        <v>19</v>
      </c>
      <c r="K18" t="s">
        <v>147</v>
      </c>
      <c r="L18">
        <v>11354.199999999993</v>
      </c>
    </row>
    <row r="19" spans="1:12" x14ac:dyDescent="0.3">
      <c r="A19" t="s">
        <v>19</v>
      </c>
      <c r="B19" t="s">
        <v>334</v>
      </c>
      <c r="C19">
        <v>36</v>
      </c>
      <c r="D19">
        <v>1558.4</v>
      </c>
      <c r="F19" s="17" t="s">
        <v>19</v>
      </c>
      <c r="G19" t="s">
        <v>334</v>
      </c>
      <c r="H19">
        <v>36</v>
      </c>
      <c r="J19" s="17" t="s">
        <v>19</v>
      </c>
      <c r="K19" t="s">
        <v>334</v>
      </c>
      <c r="L19">
        <v>1558.4</v>
      </c>
    </row>
    <row r="20" spans="1:12" x14ac:dyDescent="0.3">
      <c r="A20" t="s">
        <v>19</v>
      </c>
      <c r="B20" t="s">
        <v>949</v>
      </c>
      <c r="C20">
        <v>30</v>
      </c>
      <c r="D20">
        <v>2223.9</v>
      </c>
      <c r="F20" s="17" t="s">
        <v>19</v>
      </c>
      <c r="G20" t="s">
        <v>949</v>
      </c>
      <c r="H20">
        <v>30</v>
      </c>
      <c r="J20" s="17" t="s">
        <v>19</v>
      </c>
      <c r="K20" t="s">
        <v>949</v>
      </c>
      <c r="L20">
        <v>2223.9</v>
      </c>
    </row>
    <row r="21" spans="1:12" x14ac:dyDescent="0.3">
      <c r="A21" t="s">
        <v>19</v>
      </c>
      <c r="B21" t="s">
        <v>1426</v>
      </c>
      <c r="C21">
        <v>1</v>
      </c>
      <c r="D21">
        <v>26.2</v>
      </c>
      <c r="F21" s="17" t="s">
        <v>19</v>
      </c>
      <c r="G21" t="s">
        <v>1426</v>
      </c>
      <c r="H21">
        <v>1</v>
      </c>
      <c r="J21" s="17" t="s">
        <v>19</v>
      </c>
      <c r="K21" t="s">
        <v>1426</v>
      </c>
      <c r="L21">
        <v>26.2</v>
      </c>
    </row>
    <row r="22" spans="1:12" x14ac:dyDescent="0.3">
      <c r="A22" t="s">
        <v>19</v>
      </c>
      <c r="B22" t="s">
        <v>33</v>
      </c>
      <c r="C22">
        <v>3991</v>
      </c>
      <c r="D22">
        <v>215551.19999999981</v>
      </c>
      <c r="F22" s="17" t="s">
        <v>19</v>
      </c>
      <c r="G22" t="s">
        <v>33</v>
      </c>
      <c r="H22">
        <v>3991</v>
      </c>
      <c r="J22" s="17" t="s">
        <v>19</v>
      </c>
      <c r="K22" t="s">
        <v>33</v>
      </c>
      <c r="L22">
        <v>215551.19999999981</v>
      </c>
    </row>
    <row r="23" spans="1:12" x14ac:dyDescent="0.3">
      <c r="A23" t="s">
        <v>19</v>
      </c>
      <c r="B23" t="s">
        <v>364</v>
      </c>
      <c r="C23">
        <v>45</v>
      </c>
      <c r="D23">
        <v>2687.3999999999996</v>
      </c>
      <c r="F23" s="17" t="s">
        <v>19</v>
      </c>
      <c r="G23" t="s">
        <v>364</v>
      </c>
      <c r="H23">
        <v>45</v>
      </c>
      <c r="J23" s="17" t="s">
        <v>19</v>
      </c>
      <c r="K23" t="s">
        <v>364</v>
      </c>
      <c r="L23">
        <v>2687.3999999999996</v>
      </c>
    </row>
    <row r="24" spans="1:12" x14ac:dyDescent="0.3">
      <c r="A24" t="s">
        <v>19</v>
      </c>
      <c r="B24" t="s">
        <v>545</v>
      </c>
      <c r="C24">
        <v>39</v>
      </c>
      <c r="D24">
        <v>1463.3000000000002</v>
      </c>
      <c r="F24" s="17" t="s">
        <v>19</v>
      </c>
      <c r="G24" t="s">
        <v>545</v>
      </c>
      <c r="H24">
        <v>39</v>
      </c>
      <c r="J24" s="17" t="s">
        <v>19</v>
      </c>
      <c r="K24" t="s">
        <v>545</v>
      </c>
      <c r="L24">
        <v>1463.3000000000002</v>
      </c>
    </row>
    <row r="25" spans="1:12" x14ac:dyDescent="0.3">
      <c r="A25" t="s">
        <v>19</v>
      </c>
      <c r="B25" t="s">
        <v>416</v>
      </c>
      <c r="C25">
        <v>6</v>
      </c>
      <c r="D25">
        <v>445.79999999999995</v>
      </c>
      <c r="F25" s="17" t="s">
        <v>19</v>
      </c>
      <c r="G25" t="s">
        <v>416</v>
      </c>
      <c r="H25">
        <v>6</v>
      </c>
      <c r="J25" s="17" t="s">
        <v>19</v>
      </c>
      <c r="K25" t="s">
        <v>416</v>
      </c>
      <c r="L25">
        <v>445.79999999999995</v>
      </c>
    </row>
    <row r="26" spans="1:12" x14ac:dyDescent="0.3">
      <c r="A26" t="s">
        <v>19</v>
      </c>
      <c r="B26" t="s">
        <v>258</v>
      </c>
      <c r="C26">
        <v>9</v>
      </c>
      <c r="D26">
        <v>273.59999999999997</v>
      </c>
      <c r="F26" s="17" t="s">
        <v>19</v>
      </c>
      <c r="G26" t="s">
        <v>258</v>
      </c>
      <c r="H26">
        <v>9</v>
      </c>
      <c r="J26" s="17" t="s">
        <v>19</v>
      </c>
      <c r="K26" t="s">
        <v>258</v>
      </c>
      <c r="L26">
        <v>273.59999999999997</v>
      </c>
    </row>
    <row r="27" spans="1:12" x14ac:dyDescent="0.3">
      <c r="A27" t="s">
        <v>19</v>
      </c>
      <c r="B27" t="s">
        <v>186</v>
      </c>
      <c r="C27">
        <v>60</v>
      </c>
      <c r="D27">
        <v>2690.4</v>
      </c>
      <c r="F27" s="17" t="s">
        <v>19</v>
      </c>
      <c r="G27" t="s">
        <v>186</v>
      </c>
      <c r="H27">
        <v>60</v>
      </c>
      <c r="J27" s="17" t="s">
        <v>19</v>
      </c>
      <c r="K27" t="s">
        <v>186</v>
      </c>
      <c r="L27">
        <v>2690.4</v>
      </c>
    </row>
    <row r="28" spans="1:12" x14ac:dyDescent="0.3">
      <c r="A28" t="s">
        <v>19</v>
      </c>
      <c r="B28" t="s">
        <v>392</v>
      </c>
      <c r="C28">
        <v>2</v>
      </c>
      <c r="D28">
        <v>28.4</v>
      </c>
      <c r="F28" s="17" t="s">
        <v>19</v>
      </c>
      <c r="G28" t="s">
        <v>392</v>
      </c>
      <c r="H28">
        <v>2</v>
      </c>
      <c r="J28" s="17" t="s">
        <v>19</v>
      </c>
      <c r="K28" t="s">
        <v>392</v>
      </c>
      <c r="L28">
        <v>28.4</v>
      </c>
    </row>
    <row r="29" spans="1:12" x14ac:dyDescent="0.3">
      <c r="A29" t="s">
        <v>19</v>
      </c>
      <c r="B29" t="s">
        <v>670</v>
      </c>
      <c r="C29">
        <v>4</v>
      </c>
      <c r="D29">
        <v>204.8</v>
      </c>
      <c r="F29" s="17" t="s">
        <v>19</v>
      </c>
      <c r="G29" t="s">
        <v>670</v>
      </c>
      <c r="H29">
        <v>4</v>
      </c>
      <c r="J29" s="17" t="s">
        <v>19</v>
      </c>
      <c r="K29" t="s">
        <v>670</v>
      </c>
      <c r="L29">
        <v>204.8</v>
      </c>
    </row>
    <row r="30" spans="1:12" x14ac:dyDescent="0.3">
      <c r="A30" t="s">
        <v>19</v>
      </c>
      <c r="B30" t="s">
        <v>802</v>
      </c>
      <c r="C30">
        <v>31</v>
      </c>
      <c r="D30">
        <v>1607.8999999999999</v>
      </c>
      <c r="F30" s="17" t="s">
        <v>19</v>
      </c>
      <c r="G30" t="s">
        <v>802</v>
      </c>
      <c r="H30">
        <v>31</v>
      </c>
      <c r="J30" s="17" t="s">
        <v>19</v>
      </c>
      <c r="K30" t="s">
        <v>802</v>
      </c>
      <c r="L30">
        <v>1607.8999999999999</v>
      </c>
    </row>
    <row r="31" spans="1:12" x14ac:dyDescent="0.3">
      <c r="A31" t="s">
        <v>19</v>
      </c>
      <c r="B31" t="s">
        <v>98</v>
      </c>
      <c r="C31">
        <v>88</v>
      </c>
      <c r="D31">
        <v>6444.9</v>
      </c>
      <c r="F31" s="17" t="s">
        <v>19</v>
      </c>
      <c r="G31" t="s">
        <v>98</v>
      </c>
      <c r="H31">
        <v>88</v>
      </c>
      <c r="J31" s="17" t="s">
        <v>19</v>
      </c>
      <c r="K31" t="s">
        <v>98</v>
      </c>
      <c r="L31">
        <v>6444.9</v>
      </c>
    </row>
    <row r="32" spans="1:12" x14ac:dyDescent="0.3">
      <c r="A32" t="s">
        <v>19</v>
      </c>
      <c r="B32" t="s">
        <v>49</v>
      </c>
      <c r="C32">
        <v>25</v>
      </c>
      <c r="D32">
        <v>1809.3</v>
      </c>
      <c r="F32" s="17" t="s">
        <v>19</v>
      </c>
      <c r="G32" t="s">
        <v>49</v>
      </c>
      <c r="H32">
        <v>25</v>
      </c>
      <c r="J32" s="17" t="s">
        <v>19</v>
      </c>
      <c r="K32" t="s">
        <v>49</v>
      </c>
      <c r="L32">
        <v>1809.3</v>
      </c>
    </row>
    <row r="33" spans="1:12" x14ac:dyDescent="0.3">
      <c r="A33" t="s">
        <v>19</v>
      </c>
      <c r="B33" t="s">
        <v>188</v>
      </c>
      <c r="C33">
        <v>178</v>
      </c>
      <c r="D33">
        <v>9680.399999999996</v>
      </c>
      <c r="F33" s="17" t="s">
        <v>19</v>
      </c>
      <c r="G33" t="s">
        <v>188</v>
      </c>
      <c r="H33">
        <v>178</v>
      </c>
      <c r="J33" s="17" t="s">
        <v>19</v>
      </c>
      <c r="K33" t="s">
        <v>188</v>
      </c>
      <c r="L33">
        <v>9680.399999999996</v>
      </c>
    </row>
    <row r="34" spans="1:12" x14ac:dyDescent="0.3">
      <c r="A34" t="s">
        <v>19</v>
      </c>
      <c r="B34" t="s">
        <v>52</v>
      </c>
      <c r="C34">
        <v>141</v>
      </c>
      <c r="D34">
        <v>9414.7999999999993</v>
      </c>
      <c r="F34" s="17" t="s">
        <v>19</v>
      </c>
      <c r="G34" t="s">
        <v>52</v>
      </c>
      <c r="H34">
        <v>141</v>
      </c>
      <c r="J34" s="17" t="s">
        <v>19</v>
      </c>
      <c r="K34" t="s">
        <v>52</v>
      </c>
      <c r="L34">
        <v>9414.7999999999993</v>
      </c>
    </row>
    <row r="35" spans="1:12" x14ac:dyDescent="0.3">
      <c r="A35" t="s">
        <v>19</v>
      </c>
      <c r="B35" t="s">
        <v>338</v>
      </c>
      <c r="C35">
        <v>6</v>
      </c>
      <c r="D35">
        <v>206.1</v>
      </c>
      <c r="F35" s="17" t="s">
        <v>19</v>
      </c>
      <c r="G35" t="s">
        <v>338</v>
      </c>
      <c r="H35">
        <v>6</v>
      </c>
      <c r="J35" s="17" t="s">
        <v>19</v>
      </c>
      <c r="K35" t="s">
        <v>338</v>
      </c>
      <c r="L35">
        <v>206.1</v>
      </c>
    </row>
    <row r="36" spans="1:12" x14ac:dyDescent="0.3">
      <c r="A36" t="s">
        <v>19</v>
      </c>
      <c r="B36" t="s">
        <v>158</v>
      </c>
      <c r="C36">
        <v>178</v>
      </c>
      <c r="D36">
        <v>7691.3</v>
      </c>
      <c r="F36" s="17" t="s">
        <v>19</v>
      </c>
      <c r="G36" t="s">
        <v>158</v>
      </c>
      <c r="H36">
        <v>178</v>
      </c>
      <c r="J36" s="17" t="s">
        <v>19</v>
      </c>
      <c r="K36" t="s">
        <v>158</v>
      </c>
      <c r="L36">
        <v>7691.3</v>
      </c>
    </row>
    <row r="37" spans="1:12" x14ac:dyDescent="0.3">
      <c r="A37" t="s">
        <v>19</v>
      </c>
      <c r="B37" t="s">
        <v>55</v>
      </c>
      <c r="C37">
        <v>699</v>
      </c>
      <c r="D37">
        <v>37784.900000000016</v>
      </c>
      <c r="F37" s="17" t="s">
        <v>19</v>
      </c>
      <c r="G37" t="s">
        <v>55</v>
      </c>
      <c r="H37">
        <v>699</v>
      </c>
      <c r="J37" s="17" t="s">
        <v>19</v>
      </c>
      <c r="K37" t="s">
        <v>55</v>
      </c>
      <c r="L37">
        <v>37784.900000000016</v>
      </c>
    </row>
    <row r="38" spans="1:12" x14ac:dyDescent="0.3">
      <c r="A38" t="s">
        <v>19</v>
      </c>
      <c r="B38" t="s">
        <v>342</v>
      </c>
      <c r="C38">
        <v>23</v>
      </c>
      <c r="D38">
        <v>1129.7</v>
      </c>
      <c r="F38" s="17" t="s">
        <v>19</v>
      </c>
      <c r="G38" t="s">
        <v>342</v>
      </c>
      <c r="H38">
        <v>23</v>
      </c>
      <c r="J38" s="17" t="s">
        <v>19</v>
      </c>
      <c r="K38" t="s">
        <v>342</v>
      </c>
      <c r="L38">
        <v>1129.7</v>
      </c>
    </row>
    <row r="39" spans="1:12" x14ac:dyDescent="0.3">
      <c r="A39" t="s">
        <v>19</v>
      </c>
      <c r="B39" t="s">
        <v>59</v>
      </c>
      <c r="C39">
        <v>356</v>
      </c>
      <c r="D39">
        <v>20988.9</v>
      </c>
      <c r="F39" s="17" t="s">
        <v>19</v>
      </c>
      <c r="G39" t="s">
        <v>59</v>
      </c>
      <c r="H39">
        <v>356</v>
      </c>
      <c r="J39" s="17" t="s">
        <v>19</v>
      </c>
      <c r="K39" t="s">
        <v>59</v>
      </c>
      <c r="L39">
        <v>20988.9</v>
      </c>
    </row>
    <row r="40" spans="1:12" x14ac:dyDescent="0.3">
      <c r="A40" t="s">
        <v>19</v>
      </c>
      <c r="B40" t="s">
        <v>62</v>
      </c>
      <c r="C40">
        <v>1768</v>
      </c>
      <c r="D40">
        <v>98367.099999999977</v>
      </c>
      <c r="F40" s="17" t="s">
        <v>19</v>
      </c>
      <c r="G40" t="s">
        <v>62</v>
      </c>
      <c r="H40">
        <v>1768</v>
      </c>
      <c r="J40" s="17" t="s">
        <v>19</v>
      </c>
      <c r="K40" t="s">
        <v>62</v>
      </c>
      <c r="L40">
        <v>98367.099999999977</v>
      </c>
    </row>
    <row r="41" spans="1:12" x14ac:dyDescent="0.3">
      <c r="A41" t="s">
        <v>19</v>
      </c>
      <c r="B41" t="s">
        <v>103</v>
      </c>
      <c r="C41">
        <v>307</v>
      </c>
      <c r="D41">
        <v>21911.9</v>
      </c>
      <c r="F41" s="17" t="s">
        <v>19</v>
      </c>
      <c r="G41" t="s">
        <v>103</v>
      </c>
      <c r="H41">
        <v>307</v>
      </c>
      <c r="J41" s="17" t="s">
        <v>19</v>
      </c>
      <c r="K41" t="s">
        <v>103</v>
      </c>
      <c r="L41">
        <v>21911.9</v>
      </c>
    </row>
    <row r="42" spans="1:12" x14ac:dyDescent="0.3">
      <c r="A42" t="s">
        <v>19</v>
      </c>
      <c r="B42" t="s">
        <v>201</v>
      </c>
      <c r="C42">
        <v>117</v>
      </c>
      <c r="D42">
        <v>5441.2</v>
      </c>
      <c r="F42" s="17" t="s">
        <v>19</v>
      </c>
      <c r="G42" t="s">
        <v>201</v>
      </c>
      <c r="H42">
        <v>117</v>
      </c>
      <c r="J42" s="17" t="s">
        <v>19</v>
      </c>
      <c r="K42" t="s">
        <v>201</v>
      </c>
      <c r="L42">
        <v>5441.2</v>
      </c>
    </row>
    <row r="43" spans="1:12" x14ac:dyDescent="0.3">
      <c r="A43" t="s">
        <v>19</v>
      </c>
      <c r="B43" t="s">
        <v>429</v>
      </c>
      <c r="C43">
        <v>13</v>
      </c>
      <c r="D43">
        <v>392.8</v>
      </c>
      <c r="F43" s="17" t="s">
        <v>19</v>
      </c>
      <c r="G43" t="s">
        <v>429</v>
      </c>
      <c r="H43">
        <v>13</v>
      </c>
      <c r="J43" s="17" t="s">
        <v>19</v>
      </c>
      <c r="K43" t="s">
        <v>429</v>
      </c>
      <c r="L43">
        <v>392.8</v>
      </c>
    </row>
    <row r="44" spans="1:12" x14ac:dyDescent="0.3">
      <c r="A44" t="s">
        <v>19</v>
      </c>
      <c r="B44" t="s">
        <v>72</v>
      </c>
      <c r="C44">
        <v>364</v>
      </c>
      <c r="D44">
        <v>16172.000000000005</v>
      </c>
      <c r="F44" s="17" t="s">
        <v>19</v>
      </c>
      <c r="G44" t="s">
        <v>72</v>
      </c>
      <c r="H44">
        <v>364</v>
      </c>
      <c r="J44" s="17" t="s">
        <v>19</v>
      </c>
      <c r="K44" t="s">
        <v>72</v>
      </c>
      <c r="L44">
        <v>16172.000000000005</v>
      </c>
    </row>
    <row r="45" spans="1:12" x14ac:dyDescent="0.3">
      <c r="A45" t="s">
        <v>19</v>
      </c>
      <c r="B45" t="s">
        <v>74</v>
      </c>
      <c r="C45">
        <v>95</v>
      </c>
      <c r="D45">
        <v>4334.9999999999991</v>
      </c>
      <c r="F45" s="17" t="s">
        <v>19</v>
      </c>
      <c r="G45" t="s">
        <v>74</v>
      </c>
      <c r="H45">
        <v>95</v>
      </c>
      <c r="J45" s="17" t="s">
        <v>19</v>
      </c>
      <c r="K45" t="s">
        <v>74</v>
      </c>
      <c r="L45">
        <v>4334.9999999999991</v>
      </c>
    </row>
    <row r="46" spans="1:12" x14ac:dyDescent="0.3">
      <c r="A46" t="s">
        <v>19</v>
      </c>
      <c r="B46" t="s">
        <v>77</v>
      </c>
      <c r="C46">
        <v>737</v>
      </c>
      <c r="D46">
        <v>37449.000000000007</v>
      </c>
      <c r="F46" s="17" t="s">
        <v>19</v>
      </c>
      <c r="G46" t="s">
        <v>77</v>
      </c>
      <c r="H46">
        <v>737</v>
      </c>
      <c r="J46" s="17" t="s">
        <v>19</v>
      </c>
      <c r="K46" t="s">
        <v>77</v>
      </c>
      <c r="L46">
        <v>37449.000000000007</v>
      </c>
    </row>
    <row r="47" spans="1:12" x14ac:dyDescent="0.3">
      <c r="A47" t="s">
        <v>19</v>
      </c>
      <c r="B47" t="s">
        <v>309</v>
      </c>
      <c r="C47">
        <v>39</v>
      </c>
      <c r="D47">
        <v>2447.5</v>
      </c>
      <c r="F47" s="17" t="s">
        <v>19</v>
      </c>
      <c r="G47" t="s">
        <v>309</v>
      </c>
      <c r="H47">
        <v>39</v>
      </c>
      <c r="J47" s="17" t="s">
        <v>19</v>
      </c>
      <c r="K47" t="s">
        <v>309</v>
      </c>
      <c r="L47">
        <v>2447.5</v>
      </c>
    </row>
    <row r="48" spans="1:12" x14ac:dyDescent="0.3">
      <c r="A48" t="s">
        <v>19</v>
      </c>
      <c r="B48" t="s">
        <v>1116</v>
      </c>
      <c r="C48">
        <v>56</v>
      </c>
      <c r="D48">
        <v>3391.1</v>
      </c>
      <c r="F48" s="17" t="s">
        <v>19</v>
      </c>
      <c r="G48" t="s">
        <v>1116</v>
      </c>
      <c r="H48">
        <v>56</v>
      </c>
      <c r="J48" s="17" t="s">
        <v>19</v>
      </c>
      <c r="K48" t="s">
        <v>1116</v>
      </c>
      <c r="L48">
        <v>3391.1</v>
      </c>
    </row>
    <row r="49" spans="1:12" x14ac:dyDescent="0.3">
      <c r="A49" t="s">
        <v>19</v>
      </c>
      <c r="B49" t="s">
        <v>700</v>
      </c>
      <c r="C49">
        <v>2</v>
      </c>
      <c r="D49">
        <v>30.8</v>
      </c>
      <c r="F49" s="17" t="s">
        <v>19</v>
      </c>
      <c r="G49" t="s">
        <v>700</v>
      </c>
      <c r="H49">
        <v>2</v>
      </c>
      <c r="J49" s="17" t="s">
        <v>19</v>
      </c>
      <c r="K49" t="s">
        <v>700</v>
      </c>
      <c r="L49">
        <v>30.8</v>
      </c>
    </row>
    <row r="50" spans="1:12" x14ac:dyDescent="0.3">
      <c r="A50" t="s">
        <v>19</v>
      </c>
      <c r="B50" t="s">
        <v>268</v>
      </c>
      <c r="C50">
        <v>8</v>
      </c>
      <c r="D50">
        <v>332.3</v>
      </c>
      <c r="F50" s="17" t="s">
        <v>19</v>
      </c>
      <c r="G50" t="s">
        <v>268</v>
      </c>
      <c r="H50">
        <v>8</v>
      </c>
      <c r="J50" s="17" t="s">
        <v>19</v>
      </c>
      <c r="K50" t="s">
        <v>268</v>
      </c>
      <c r="L50">
        <v>332.3</v>
      </c>
    </row>
    <row r="51" spans="1:12" x14ac:dyDescent="0.3">
      <c r="A51" t="s">
        <v>19</v>
      </c>
      <c r="B51" t="s">
        <v>377</v>
      </c>
      <c r="C51">
        <v>52</v>
      </c>
      <c r="D51">
        <v>3175.9999999999995</v>
      </c>
      <c r="F51" s="17" t="s">
        <v>19</v>
      </c>
      <c r="G51" t="s">
        <v>377</v>
      </c>
      <c r="H51">
        <v>52</v>
      </c>
      <c r="J51" s="17" t="s">
        <v>19</v>
      </c>
      <c r="K51" t="s">
        <v>377</v>
      </c>
      <c r="L51">
        <v>3175.9999999999995</v>
      </c>
    </row>
    <row r="52" spans="1:12" x14ac:dyDescent="0.3">
      <c r="A52" t="s">
        <v>19</v>
      </c>
      <c r="B52" t="s">
        <v>108</v>
      </c>
      <c r="C52">
        <v>295</v>
      </c>
      <c r="D52">
        <v>20939.600000000002</v>
      </c>
      <c r="F52" s="17" t="s">
        <v>19</v>
      </c>
      <c r="G52" t="s">
        <v>108</v>
      </c>
      <c r="H52">
        <v>295</v>
      </c>
      <c r="J52" s="17" t="s">
        <v>19</v>
      </c>
      <c r="K52" t="s">
        <v>108</v>
      </c>
      <c r="L52">
        <v>20939.600000000002</v>
      </c>
    </row>
    <row r="53" spans="1:12" x14ac:dyDescent="0.3">
      <c r="A53" t="s">
        <v>19</v>
      </c>
      <c r="B53" t="s">
        <v>110</v>
      </c>
      <c r="C53">
        <v>195</v>
      </c>
      <c r="D53">
        <v>10185.899999999996</v>
      </c>
      <c r="F53" s="17" t="s">
        <v>19</v>
      </c>
      <c r="G53" t="s">
        <v>110</v>
      </c>
      <c r="H53">
        <v>195</v>
      </c>
      <c r="J53" s="17" t="s">
        <v>19</v>
      </c>
      <c r="K53" t="s">
        <v>110</v>
      </c>
      <c r="L53">
        <v>10185.899999999996</v>
      </c>
    </row>
    <row r="54" spans="1:12" x14ac:dyDescent="0.3">
      <c r="A54" t="s">
        <v>19</v>
      </c>
      <c r="B54" t="s">
        <v>292</v>
      </c>
      <c r="C54">
        <v>20</v>
      </c>
      <c r="D54">
        <v>958.7</v>
      </c>
      <c r="F54" s="17" t="s">
        <v>19</v>
      </c>
      <c r="G54" t="s">
        <v>292</v>
      </c>
      <c r="H54">
        <v>20</v>
      </c>
      <c r="J54" s="17" t="s">
        <v>19</v>
      </c>
      <c r="K54" t="s">
        <v>292</v>
      </c>
      <c r="L54">
        <v>958.7</v>
      </c>
    </row>
    <row r="55" spans="1:12" x14ac:dyDescent="0.3">
      <c r="A55" t="s">
        <v>19</v>
      </c>
      <c r="B55" t="s">
        <v>79</v>
      </c>
      <c r="C55">
        <v>6</v>
      </c>
      <c r="D55">
        <v>323</v>
      </c>
      <c r="F55" s="17" t="s">
        <v>19</v>
      </c>
      <c r="G55" t="s">
        <v>79</v>
      </c>
      <c r="H55">
        <v>6</v>
      </c>
      <c r="J55" s="17" t="s">
        <v>19</v>
      </c>
      <c r="K55" t="s">
        <v>79</v>
      </c>
      <c r="L55">
        <v>323</v>
      </c>
    </row>
    <row r="56" spans="1:12" x14ac:dyDescent="0.3">
      <c r="A56" t="s">
        <v>19</v>
      </c>
      <c r="B56" t="s">
        <v>608</v>
      </c>
      <c r="C56">
        <v>5</v>
      </c>
      <c r="D56">
        <v>167.70000000000002</v>
      </c>
      <c r="F56" s="17" t="s">
        <v>19</v>
      </c>
      <c r="G56" t="s">
        <v>608</v>
      </c>
      <c r="H56">
        <v>5</v>
      </c>
      <c r="J56" s="17" t="s">
        <v>19</v>
      </c>
      <c r="K56" t="s">
        <v>608</v>
      </c>
      <c r="L56">
        <v>167.70000000000002</v>
      </c>
    </row>
    <row r="57" spans="1:12" x14ac:dyDescent="0.3">
      <c r="A57" t="s">
        <v>19</v>
      </c>
      <c r="B57" t="s">
        <v>113</v>
      </c>
      <c r="C57">
        <v>94</v>
      </c>
      <c r="D57">
        <v>3978.5</v>
      </c>
      <c r="F57" s="17" t="s">
        <v>19</v>
      </c>
      <c r="G57" t="s">
        <v>113</v>
      </c>
      <c r="H57">
        <v>94</v>
      </c>
      <c r="J57" s="17" t="s">
        <v>19</v>
      </c>
      <c r="K57" t="s">
        <v>113</v>
      </c>
      <c r="L57">
        <v>3978.5</v>
      </c>
    </row>
    <row r="58" spans="1:12" x14ac:dyDescent="0.3">
      <c r="A58" t="s">
        <v>19</v>
      </c>
      <c r="B58" t="s">
        <v>997</v>
      </c>
      <c r="C58">
        <v>28</v>
      </c>
      <c r="D58">
        <v>1405</v>
      </c>
      <c r="F58" s="17" t="s">
        <v>19</v>
      </c>
      <c r="G58" t="s">
        <v>997</v>
      </c>
      <c r="H58">
        <v>28</v>
      </c>
      <c r="J58" s="17" t="s">
        <v>19</v>
      </c>
      <c r="K58" t="s">
        <v>997</v>
      </c>
      <c r="L58">
        <v>1405</v>
      </c>
    </row>
    <row r="59" spans="1:12" x14ac:dyDescent="0.3">
      <c r="A59" t="s">
        <v>19</v>
      </c>
      <c r="B59" t="s">
        <v>82</v>
      </c>
      <c r="C59">
        <v>179</v>
      </c>
      <c r="D59">
        <v>9869.0999999999985</v>
      </c>
      <c r="F59" s="17" t="s">
        <v>19</v>
      </c>
      <c r="G59" t="s">
        <v>82</v>
      </c>
      <c r="H59">
        <v>179</v>
      </c>
      <c r="J59" s="17" t="s">
        <v>19</v>
      </c>
      <c r="K59" t="s">
        <v>82</v>
      </c>
      <c r="L59">
        <v>9869.0999999999985</v>
      </c>
    </row>
    <row r="60" spans="1:12" x14ac:dyDescent="0.3">
      <c r="A60" t="s">
        <v>19</v>
      </c>
      <c r="B60" t="s">
        <v>243</v>
      </c>
      <c r="C60">
        <v>15</v>
      </c>
      <c r="D60">
        <v>615.29999999999995</v>
      </c>
      <c r="F60" s="17" t="s">
        <v>19</v>
      </c>
      <c r="G60" t="s">
        <v>243</v>
      </c>
      <c r="H60">
        <v>15</v>
      </c>
      <c r="J60" s="17" t="s">
        <v>19</v>
      </c>
      <c r="K60" t="s">
        <v>243</v>
      </c>
      <c r="L60">
        <v>615.29999999999995</v>
      </c>
    </row>
    <row r="61" spans="1:12" x14ac:dyDescent="0.3">
      <c r="A61" t="s">
        <v>19</v>
      </c>
      <c r="B61" t="s">
        <v>1911</v>
      </c>
      <c r="C61">
        <v>3</v>
      </c>
      <c r="D61">
        <v>285</v>
      </c>
      <c r="F61" s="18" t="s">
        <v>19</v>
      </c>
      <c r="G61" t="s">
        <v>1911</v>
      </c>
      <c r="H61">
        <v>3</v>
      </c>
      <c r="J61" s="18" t="s">
        <v>19</v>
      </c>
      <c r="K61" t="s">
        <v>1911</v>
      </c>
      <c r="L61">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A2F4-4B93-4711-B67F-AD0C90E137DE}">
  <dimension ref="A3:K19"/>
  <sheetViews>
    <sheetView workbookViewId="0">
      <selection activeCell="A8" sqref="A8"/>
    </sheetView>
  </sheetViews>
  <sheetFormatPr defaultRowHeight="14.4" x14ac:dyDescent="0.3"/>
  <cols>
    <col min="1" max="1" width="12.44140625" bestFit="1" customWidth="1"/>
    <col min="2" max="2" width="12.21875" bestFit="1" customWidth="1"/>
    <col min="5" max="5" width="12.44140625" bestFit="1" customWidth="1"/>
    <col min="6" max="6" width="15.5546875" bestFit="1" customWidth="1"/>
    <col min="7" max="8" width="4" bestFit="1" customWidth="1"/>
    <col min="9" max="9" width="5" bestFit="1" customWidth="1"/>
    <col min="10" max="10" width="4" bestFit="1" customWidth="1"/>
    <col min="11" max="11" width="10.5546875" bestFit="1" customWidth="1"/>
    <col min="12" max="36" width="9" bestFit="1" customWidth="1"/>
    <col min="37" max="93" width="9.44140625" bestFit="1" customWidth="1"/>
    <col min="94" max="94" width="10.5546875" bestFit="1" customWidth="1"/>
  </cols>
  <sheetData>
    <row r="3" spans="1:11" x14ac:dyDescent="0.3">
      <c r="A3" s="3" t="s">
        <v>2513</v>
      </c>
      <c r="B3" t="s">
        <v>2503</v>
      </c>
      <c r="E3" s="3" t="s">
        <v>2503</v>
      </c>
      <c r="F3" s="3" t="s">
        <v>2515</v>
      </c>
    </row>
    <row r="4" spans="1:11" x14ac:dyDescent="0.3">
      <c r="A4" s="4">
        <v>0</v>
      </c>
      <c r="B4">
        <v>175</v>
      </c>
      <c r="E4" s="3" t="s">
        <v>2513</v>
      </c>
      <c r="F4">
        <v>1</v>
      </c>
      <c r="G4">
        <v>2</v>
      </c>
      <c r="H4">
        <v>3</v>
      </c>
      <c r="I4">
        <v>4</v>
      </c>
      <c r="J4">
        <v>5</v>
      </c>
      <c r="K4" t="s">
        <v>2514</v>
      </c>
    </row>
    <row r="5" spans="1:11" x14ac:dyDescent="0.3">
      <c r="A5" s="4">
        <v>1</v>
      </c>
      <c r="B5">
        <v>888</v>
      </c>
      <c r="E5" s="4" t="s">
        <v>2525</v>
      </c>
      <c r="F5">
        <v>7</v>
      </c>
      <c r="G5">
        <v>37</v>
      </c>
      <c r="H5">
        <v>150</v>
      </c>
      <c r="I5">
        <v>312</v>
      </c>
      <c r="J5">
        <v>224</v>
      </c>
      <c r="K5">
        <v>730</v>
      </c>
    </row>
    <row r="6" spans="1:11" x14ac:dyDescent="0.3">
      <c r="A6" s="4">
        <v>2</v>
      </c>
      <c r="B6">
        <v>538</v>
      </c>
      <c r="E6" s="4" t="s">
        <v>2526</v>
      </c>
      <c r="F6">
        <v>8</v>
      </c>
      <c r="G6">
        <v>51</v>
      </c>
      <c r="H6">
        <v>182</v>
      </c>
      <c r="I6">
        <v>373</v>
      </c>
      <c r="J6">
        <v>247</v>
      </c>
      <c r="K6">
        <v>861</v>
      </c>
    </row>
    <row r="7" spans="1:11" x14ac:dyDescent="0.3">
      <c r="A7" s="4">
        <v>3</v>
      </c>
      <c r="B7">
        <v>344</v>
      </c>
      <c r="E7" s="4" t="s">
        <v>2527</v>
      </c>
      <c r="F7">
        <v>6</v>
      </c>
      <c r="G7">
        <v>39</v>
      </c>
      <c r="H7">
        <v>163</v>
      </c>
      <c r="I7">
        <v>351</v>
      </c>
      <c r="J7">
        <v>250</v>
      </c>
      <c r="K7">
        <v>809</v>
      </c>
    </row>
    <row r="8" spans="1:11" x14ac:dyDescent="0.3">
      <c r="A8" s="4">
        <v>4</v>
      </c>
      <c r="B8">
        <v>200</v>
      </c>
      <c r="E8" s="4" t="s">
        <v>2514</v>
      </c>
      <c r="F8">
        <v>21</v>
      </c>
      <c r="G8">
        <v>127</v>
      </c>
      <c r="H8">
        <v>495</v>
      </c>
      <c r="I8">
        <v>1036</v>
      </c>
      <c r="J8">
        <v>721</v>
      </c>
      <c r="K8">
        <v>2400</v>
      </c>
    </row>
    <row r="9" spans="1:11" x14ac:dyDescent="0.3">
      <c r="A9" s="4">
        <v>5</v>
      </c>
      <c r="B9">
        <v>94</v>
      </c>
    </row>
    <row r="10" spans="1:11" x14ac:dyDescent="0.3">
      <c r="A10" s="4">
        <v>6</v>
      </c>
      <c r="B10">
        <v>51</v>
      </c>
    </row>
    <row r="11" spans="1:11" x14ac:dyDescent="0.3">
      <c r="A11" s="4">
        <v>7</v>
      </c>
      <c r="B11">
        <v>32</v>
      </c>
    </row>
    <row r="12" spans="1:11" x14ac:dyDescent="0.3">
      <c r="A12" s="4">
        <v>8</v>
      </c>
      <c r="B12">
        <v>23</v>
      </c>
    </row>
    <row r="13" spans="1:11" x14ac:dyDescent="0.3">
      <c r="A13" s="4">
        <v>9</v>
      </c>
      <c r="B13">
        <v>9</v>
      </c>
    </row>
    <row r="14" spans="1:11" x14ac:dyDescent="0.3">
      <c r="A14" s="4">
        <v>10</v>
      </c>
      <c r="B14">
        <v>8</v>
      </c>
    </row>
    <row r="15" spans="1:11" x14ac:dyDescent="0.3">
      <c r="A15" s="4">
        <v>11</v>
      </c>
      <c r="B15">
        <v>11</v>
      </c>
    </row>
    <row r="16" spans="1:11" x14ac:dyDescent="0.3">
      <c r="A16" s="4">
        <v>12</v>
      </c>
      <c r="B16">
        <v>4</v>
      </c>
    </row>
    <row r="17" spans="1:2" x14ac:dyDescent="0.3">
      <c r="A17" s="4">
        <v>13</v>
      </c>
      <c r="B17">
        <v>10</v>
      </c>
    </row>
    <row r="18" spans="1:2" x14ac:dyDescent="0.3">
      <c r="A18" s="4">
        <v>14</v>
      </c>
      <c r="B18">
        <v>13</v>
      </c>
    </row>
    <row r="19" spans="1:2" x14ac:dyDescent="0.3">
      <c r="A19" s="4" t="s">
        <v>2514</v>
      </c>
      <c r="B19">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528F7-A9BD-44BB-BB04-50805462DC58}">
  <dimension ref="A1:O2401"/>
  <sheetViews>
    <sheetView topLeftCell="A2" workbookViewId="0">
      <selection activeCell="G15" sqref="G15"/>
    </sheetView>
  </sheetViews>
  <sheetFormatPr defaultRowHeight="14.4" x14ac:dyDescent="0.3"/>
  <cols>
    <col min="2" max="2" width="19.109375" bestFit="1" customWidth="1"/>
    <col min="6" max="6" width="10" bestFit="1" customWidth="1"/>
    <col min="7" max="7" width="9.44140625" bestFit="1" customWidth="1"/>
    <col min="9" max="9" width="10.6640625" bestFit="1" customWidth="1"/>
    <col min="12" max="12" width="19.66406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1" t="s">
        <v>12</v>
      </c>
      <c r="N1" s="1" t="s">
        <v>13</v>
      </c>
      <c r="O1" s="1" t="s">
        <v>14</v>
      </c>
    </row>
    <row r="2" spans="1:15" x14ac:dyDescent="0.3">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F7BD4-A192-4C44-BE41-154A56B54140}">
  <dimension ref="A2:L25"/>
  <sheetViews>
    <sheetView workbookViewId="0">
      <selection activeCell="C3" sqref="C3"/>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 min="10" max="10" width="11.5546875" bestFit="1" customWidth="1"/>
    <col min="11" max="11" width="9.6640625" bestFit="1" customWidth="1"/>
  </cols>
  <sheetData>
    <row r="2" spans="1:12" x14ac:dyDescent="0.3">
      <c r="H2" t="s">
        <v>2508</v>
      </c>
    </row>
    <row r="3" spans="1:12" x14ac:dyDescent="0.3">
      <c r="A3" t="s">
        <v>2503</v>
      </c>
      <c r="B3" t="s">
        <v>2504</v>
      </c>
      <c r="C3" t="s">
        <v>2505</v>
      </c>
      <c r="D3" t="s">
        <v>2506</v>
      </c>
      <c r="E3" t="s">
        <v>2507</v>
      </c>
      <c r="H3" t="s">
        <v>2509</v>
      </c>
      <c r="I3" t="s">
        <v>2</v>
      </c>
      <c r="J3" t="s">
        <v>4</v>
      </c>
      <c r="K3" t="s">
        <v>2510</v>
      </c>
      <c r="L3" t="s">
        <v>2511</v>
      </c>
    </row>
    <row r="4" spans="1:12" x14ac:dyDescent="0.3">
      <c r="A4">
        <v>2400</v>
      </c>
      <c r="B4">
        <v>11997</v>
      </c>
      <c r="C4">
        <v>649019.80000000144</v>
      </c>
      <c r="D4">
        <v>3.9620833333333332</v>
      </c>
      <c r="E4">
        <v>2.3424999999999998</v>
      </c>
      <c r="H4" t="str">
        <f>TEXT(A4,"#,##")</f>
        <v>2,400</v>
      </c>
      <c r="I4" t="str">
        <f t="shared" ref="I4" si="0">TEXT(B4,"#,##")</f>
        <v>11,997</v>
      </c>
      <c r="J4" t="str">
        <f>TEXT(C4,"$#,##,.0k")</f>
        <v>$649.0k</v>
      </c>
      <c r="K4" t="str">
        <f>TEXT(D4,"0.0")</f>
        <v>4.0</v>
      </c>
      <c r="L4" t="str">
        <f>TEXT(E4,"0.0")</f>
        <v>2.3</v>
      </c>
    </row>
    <row r="8" spans="1:12" x14ac:dyDescent="0.3">
      <c r="A8" t="s">
        <v>2512</v>
      </c>
    </row>
    <row r="11" spans="1:12" x14ac:dyDescent="0.3">
      <c r="A11" s="3" t="s">
        <v>2513</v>
      </c>
      <c r="B11" t="s">
        <v>2504</v>
      </c>
      <c r="C11" t="s">
        <v>2505</v>
      </c>
    </row>
    <row r="12" spans="1:12" x14ac:dyDescent="0.3">
      <c r="A12" s="4">
        <v>1</v>
      </c>
      <c r="B12">
        <v>546</v>
      </c>
      <c r="C12" s="5">
        <v>32413.300000000003</v>
      </c>
    </row>
    <row r="13" spans="1:12" x14ac:dyDescent="0.3">
      <c r="A13" s="4">
        <v>2</v>
      </c>
      <c r="B13">
        <v>905</v>
      </c>
      <c r="C13" s="5">
        <v>49562.999999999993</v>
      </c>
    </row>
    <row r="14" spans="1:12" x14ac:dyDescent="0.3">
      <c r="A14" s="4">
        <v>3</v>
      </c>
      <c r="B14">
        <v>796</v>
      </c>
      <c r="C14" s="5">
        <v>41700.400000000016</v>
      </c>
    </row>
    <row r="15" spans="1:12" x14ac:dyDescent="0.3">
      <c r="A15" s="4">
        <v>4</v>
      </c>
      <c r="B15">
        <v>913</v>
      </c>
      <c r="C15" s="5">
        <v>46782.599999999984</v>
      </c>
    </row>
    <row r="16" spans="1:12" x14ac:dyDescent="0.3">
      <c r="A16" s="4">
        <v>5</v>
      </c>
      <c r="B16">
        <v>844</v>
      </c>
      <c r="C16" s="5">
        <v>42676.100000000006</v>
      </c>
    </row>
    <row r="17" spans="1:3" x14ac:dyDescent="0.3">
      <c r="A17" s="4">
        <v>6</v>
      </c>
      <c r="B17">
        <v>1202</v>
      </c>
      <c r="C17" s="5">
        <v>62910.7</v>
      </c>
    </row>
    <row r="18" spans="1:3" x14ac:dyDescent="0.3">
      <c r="A18" s="4">
        <v>7</v>
      </c>
      <c r="B18">
        <v>935</v>
      </c>
      <c r="C18" s="5">
        <v>50332.200000000004</v>
      </c>
    </row>
    <row r="19" spans="1:3" x14ac:dyDescent="0.3">
      <c r="A19" s="4">
        <v>8</v>
      </c>
      <c r="B19">
        <v>1128</v>
      </c>
      <c r="C19" s="5">
        <v>58760.599999999977</v>
      </c>
    </row>
    <row r="20" spans="1:3" x14ac:dyDescent="0.3">
      <c r="A20" s="4">
        <v>9</v>
      </c>
      <c r="B20">
        <v>1007</v>
      </c>
      <c r="C20" s="5">
        <v>52017.299999999996</v>
      </c>
    </row>
    <row r="21" spans="1:3" x14ac:dyDescent="0.3">
      <c r="A21" s="4">
        <v>10</v>
      </c>
      <c r="B21">
        <v>1128</v>
      </c>
      <c r="C21" s="5">
        <v>64915.700000000033</v>
      </c>
    </row>
    <row r="22" spans="1:3" x14ac:dyDescent="0.3">
      <c r="A22" s="4">
        <v>11</v>
      </c>
      <c r="B22">
        <v>861</v>
      </c>
      <c r="C22" s="5">
        <v>45943.80000000001</v>
      </c>
    </row>
    <row r="23" spans="1:3" x14ac:dyDescent="0.3">
      <c r="A23" s="4">
        <v>12</v>
      </c>
      <c r="B23">
        <v>944</v>
      </c>
      <c r="C23" s="5">
        <v>55077.900000000031</v>
      </c>
    </row>
    <row r="24" spans="1:3" x14ac:dyDescent="0.3">
      <c r="A24" s="4">
        <v>13</v>
      </c>
      <c r="B24">
        <v>788</v>
      </c>
      <c r="C24" s="5">
        <v>45926.19999999999</v>
      </c>
    </row>
    <row r="25" spans="1:3" x14ac:dyDescent="0.3">
      <c r="A25" s="4" t="s">
        <v>2514</v>
      </c>
      <c r="B25">
        <v>11997</v>
      </c>
      <c r="C25" s="5">
        <v>649019.79999999993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Sheet2</vt:lpstr>
      <vt:lpstr>Sheet3</vt:lpstr>
      <vt:lpstr>Sheet5</vt:lpstr>
      <vt:lpstr>Sheet6</vt:lpstr>
      <vt:lpstr>Raw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 Thiyagarajan</dc:creator>
  <cp:lastModifiedBy>Gayathri Thiyagarajan</cp:lastModifiedBy>
  <dcterms:created xsi:type="dcterms:W3CDTF">2025-11-26T04:15:09Z</dcterms:created>
  <dcterms:modified xsi:type="dcterms:W3CDTF">2025-11-28T03:12:24Z</dcterms:modified>
</cp:coreProperties>
</file>